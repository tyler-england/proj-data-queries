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bw1-my.sharepoint.com/personal/tyler_england_bwpackagingsystems_com/Documents/Distributed Files/Project Scorecards/"/>
    </mc:Choice>
  </mc:AlternateContent>
  <xr:revisionPtr revIDLastSave="122598" documentId="8_{B7283466-4FAF-4262-8914-D27359F3B6F9}" xr6:coauthVersionLast="47" xr6:coauthVersionMax="47" xr10:uidLastSave="{10CA49EA-9C1B-4FD7-B9F1-D2F0BB12CA3D}"/>
  <bookViews>
    <workbookView xWindow="-108" yWindow="-108" windowWidth="23256" windowHeight="12576" tabRatio="728" xr2:uid="{7B3AE947-6FD4-4252-A22A-5E1C0C26C27A}"/>
  </bookViews>
  <sheets>
    <sheet name="CO List" sheetId="2" r:id="rId1"/>
    <sheet name="Connections" sheetId="1" state="hidden" r:id="rId2"/>
    <sheet name="Summary" sheetId="9" r:id="rId3"/>
    <sheet name="Short Parts" sheetId="11" r:id="rId4"/>
    <sheet name="Labor Codes" sheetId="16" r:id="rId5"/>
    <sheet name="Labor Hours" sheetId="14" r:id="rId6"/>
    <sheet name="Material (Line Items)" sheetId="15" r:id="rId7"/>
    <sheet name="Material (Planned)" sheetId="8" r:id="rId8"/>
    <sheet name="Rework" sheetId="7" r:id="rId9"/>
  </sheets>
  <functionGroups builtInGroupCount="19"/>
  <definedNames>
    <definedName name="_xlnm._FilterDatabase" localSheetId="3" hidden="1">'Short Parts'!$C$1:$C$1</definedName>
    <definedName name="coList">Connections!$A$3</definedName>
    <definedName name="connStr">Connections!$A$1</definedName>
    <definedName name="ExternalData_1" localSheetId="5" hidden="1">'Labor Hours'!$A$1:$V$132</definedName>
    <definedName name="ExternalData_2" localSheetId="8" hidden="1">'Rework'!$A$1:$M$2</definedName>
    <definedName name="ExternalData_3" localSheetId="6" hidden="1">'Material (Line Items)'!$A$1:$L$52</definedName>
    <definedName name="ExternalData_3" localSheetId="7" hidden="1">'Material (Planned)'!$A$1:$Q$171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8" i="9" l="1"/>
  <c r="B7" i="9"/>
  <c r="B6" i="9"/>
  <c r="B5" i="9"/>
  <c r="B4" i="9"/>
  <c r="B3" i="9"/>
  <c r="A3" i="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87AE0DA-EECF-48A6-B369-7A2DE1C52DF9}" keepAlive="1" name="Query - COList" description="Connection to the 'COList' query in the workbook." type="5" refreshedVersion="0" background="1">
    <dbPr connection="Provider=Microsoft.Mashup.OleDb.1;Data Source=$Workbook$;Location=COList;Extended Properties=&quot;&quot;" command="SELECT * FROM [COList]"/>
  </connection>
  <connection id="2" xr16:uid="{44B2CE3E-F881-4D43-BE30-3418F7BC275A}" keepAlive="1" name="Query - connStr" description="Connection to the 'connStr' query in the workbook." type="5" refreshedVersion="0" background="1">
    <dbPr connection="Provider=Microsoft.Mashup.OleDb.1;Data Source=$Workbook$;Location=connStr;Extended Properties=&quot;&quot;" command="SELECT * FROM [connStr]"/>
  </connection>
  <connection id="3" xr16:uid="{9729BDE8-3A76-4189-BDDE-C44A18623EB0}" keepAlive="1" name="Query - del?-Assembly" description="Connection to the 'del?-Assembly' query in the workbook." type="5" refreshedVersion="6" background="1" saveData="1">
    <dbPr connection="Provider=Microsoft.Mashup.OleDb.1;Data Source=$Workbook$;Location=del?-Assembly;Extended Properties=&quot;&quot;" command="SELECT * FROM [del?-Assembly]"/>
  </connection>
  <connection id="4" xr16:uid="{2FDA4F45-4697-43B1-83D6-6352A3CDB77E}" keepAlive="1" name="Query - del?-Assembly (2)" description="Connection to the 'del?-Assembly (2)' query in the workbook." type="5" refreshedVersion="6" background="1" saveData="1">
    <dbPr connection="Provider=Microsoft.Mashup.OleDb.1;Data Source=$Workbook$;Location=&quot;del?-Assembly (2)&quot;;Extended Properties=&quot;&quot;" command="SELECT * FROM [del?-Assembly (2)]"/>
  </connection>
  <connection id="5" xr16:uid="{7ED5022A-57DD-4466-BA68-EAFE129CF25C}" keepAlive="1" name="Query - del?-Engineering" description="Connection to the 'del?-Engineering' query in the workbook." type="5" refreshedVersion="6" background="1" saveData="1">
    <dbPr connection="Provider=Microsoft.Mashup.OleDb.1;Data Source=$Workbook$;Location=del?-Engineering;Extended Properties=&quot;&quot;" command="SELECT * FROM [del?-Engineering]"/>
  </connection>
  <connection id="6" xr16:uid="{E3A0FDF7-4572-4978-BEB7-0D39CC29710F}" keepAlive="1" name="Query - Labor" description="Connection to the 'Labor' query in the workbook." type="5" refreshedVersion="7" saveData="1">
    <dbPr connection="Provider=Microsoft.Mashup.OleDb.1;Data Source=$Workbook$;Location=Labor;Extended Properties=&quot;&quot;" command="SELECT * FROM [Labor]"/>
  </connection>
  <connection id="7" xr16:uid="{F68699E0-EAC6-4FAE-BD69-90405127DE10}" keepAlive="1" name="Query - Material (Line Items)" description="Connection to the 'Material (Line Items)' query in the workbook." type="5" refreshedVersion="7" background="1" saveData="1">
    <dbPr connection="Provider=Microsoft.Mashup.OleDb.1;Data Source=$Workbook$;Location=Material (Line Items);Extended Properties=&quot;&quot;" command="SELECT * FROM [Material (Line Items)]"/>
  </connection>
  <connection id="8" xr16:uid="{90092D6A-3012-42DC-A1DD-02AEE6E053C9}" keepAlive="1" name="Query - Material (Planned)" description="Connection to the 'Material (Planned)' query in the workbook." type="5" refreshedVersion="7" background="1" saveData="1">
    <dbPr connection="Provider=Microsoft.Mashup.OleDb.1;Data Source=$Workbook$;Location=Material (Planned);Extended Properties=&quot;&quot;" command="SELECT * FROM [Material (Planned)]"/>
  </connection>
  <connection id="9" xr16:uid="{580CA23D-809C-4BBF-9AA0-CD691C71B242}" keepAlive="1" name="Query - Rework" description="Connection to the 'Rework' query in the workbook." type="5" refreshedVersion="7" background="1" saveData="1">
    <dbPr connection="Provider=Microsoft.Mashup.OleDb.1;Data Source=$Workbook$;Location=Rework;Extended Properties=&quot;&quot;" command="SELECT * FROM [Rework]"/>
  </connection>
</connections>
</file>

<file path=xl/sharedStrings.xml><?xml version="1.0" encoding="utf-8"?>
<sst xmlns="http://schemas.openxmlformats.org/spreadsheetml/2006/main" count="5693" uniqueCount="1118">
  <si>
    <t>Driver=iSeries Access ODBC Driver;System=BWCIPRD2;Servername=BWCIPRD2;Database=BWCIPRD2;Translate=1;DBQ=QGPL;Prompt=2;SIGNON=1;PREFETCH=0</t>
  </si>
  <si>
    <t>Enter CO numbers into column A</t>
  </si>
  <si>
    <t>JOBNO</t>
  </si>
  <si>
    <t>ORDNO</t>
  </si>
  <si>
    <t>FITEM</t>
  </si>
  <si>
    <t>OPSEQ</t>
  </si>
  <si>
    <t>OPDSC</t>
  </si>
  <si>
    <t>Std Setup</t>
  </si>
  <si>
    <t>Std Run</t>
  </si>
  <si>
    <t>Act Setup</t>
  </si>
  <si>
    <t>Act Run</t>
  </si>
  <si>
    <t>Setup Lbr Cost</t>
  </si>
  <si>
    <t>Run Lbr Cost</t>
  </si>
  <si>
    <t>Overhead Cost</t>
  </si>
  <si>
    <t>WKCTR</t>
  </si>
  <si>
    <t>0070</t>
  </si>
  <si>
    <t>0100</t>
  </si>
  <si>
    <t>SSCST</t>
  </si>
  <si>
    <t>SRCST</t>
  </si>
  <si>
    <t>SOVCST</t>
  </si>
  <si>
    <t>Standard Assy Cost</t>
  </si>
  <si>
    <t>Total Assy Cost</t>
  </si>
  <si>
    <t>CATCD</t>
  </si>
  <si>
    <t>CATDS</t>
  </si>
  <si>
    <t>MOSRC</t>
  </si>
  <si>
    <t>COSRC</t>
  </si>
  <si>
    <t>6</t>
  </si>
  <si>
    <t>NEW MACHINES</t>
  </si>
  <si>
    <t>0030</t>
  </si>
  <si>
    <t xml:space="preserve">ELEC ENGINEERING    </t>
  </si>
  <si>
    <t>0041</t>
  </si>
  <si>
    <t>(CA) LOWER CASE ASSY</t>
  </si>
  <si>
    <t>(CA) CENTR CASE ASSY</t>
  </si>
  <si>
    <t>(CA) BEARING HOUSING</t>
  </si>
  <si>
    <t>(PL)PIPE/VALV/BRK/..</t>
  </si>
  <si>
    <t>(PL)VAC PUMP/METER..</t>
  </si>
  <si>
    <t xml:space="preserve">ELEC INTEGRATION    </t>
  </si>
  <si>
    <t>(PN) MANIFOLD/FITNGS</t>
  </si>
  <si>
    <t>(PN) TUBING/FL METER</t>
  </si>
  <si>
    <t>CONVEYOR/VIBRAT/LIFT</t>
  </si>
  <si>
    <t>CO</t>
  </si>
  <si>
    <t>Setup Cost</t>
  </si>
  <si>
    <t>Labor Cost</t>
  </si>
  <si>
    <t>Ovh Cost</t>
  </si>
  <si>
    <t>Issue Cost</t>
  </si>
  <si>
    <t>Misc Cost</t>
  </si>
  <si>
    <t>Total MO Cost</t>
  </si>
  <si>
    <t>ACUCDF</t>
  </si>
  <si>
    <t>STUCDF</t>
  </si>
  <si>
    <t>MXUCDF</t>
  </si>
  <si>
    <t>Material</t>
  </si>
  <si>
    <t>ME Hrs</t>
  </si>
  <si>
    <t>EE Hrs</t>
  </si>
  <si>
    <t>SW Hrs</t>
  </si>
  <si>
    <t>TS Hrs</t>
  </si>
  <si>
    <t>PART_NUMBER</t>
  </si>
  <si>
    <t>PART_DESCRIPTION</t>
  </si>
  <si>
    <t>QTY_REQ</t>
  </si>
  <si>
    <t>QTY_ISS</t>
  </si>
  <si>
    <t>UNIT_COST</t>
  </si>
  <si>
    <t>ACT_COST_TD</t>
  </si>
  <si>
    <t>ACT_COST_DEF</t>
  </si>
  <si>
    <t>Description</t>
  </si>
  <si>
    <t>1</t>
  </si>
  <si>
    <t>SPARE PARTS</t>
  </si>
  <si>
    <t xml:space="preserve"> </t>
  </si>
  <si>
    <t>MA Hrs</t>
  </si>
  <si>
    <t>EA Hrs</t>
  </si>
  <si>
    <t>CHANGE PARTS</t>
  </si>
  <si>
    <t>CDCVNB</t>
  </si>
  <si>
    <t>CDAITX</t>
  </si>
  <si>
    <t>UCDEF</t>
  </si>
  <si>
    <t>EXUCDF</t>
  </si>
  <si>
    <t>SMAT</t>
  </si>
  <si>
    <t>SMAL</t>
  </si>
  <si>
    <t>SOOT</t>
  </si>
  <si>
    <t>SOOL</t>
  </si>
  <si>
    <t>TOTMAT</t>
  </si>
  <si>
    <t>Burt</t>
  </si>
  <si>
    <t>Carr</t>
  </si>
  <si>
    <t>Mateer</t>
  </si>
  <si>
    <t>408/704</t>
  </si>
  <si>
    <t>Code</t>
  </si>
  <si>
    <t>MECH ENGINEERING</t>
  </si>
  <si>
    <t>MECH #1 ASSY</t>
  </si>
  <si>
    <t>SYSTEMS ENGINEERING</t>
  </si>
  <si>
    <t>P&amp;ID</t>
  </si>
  <si>
    <t>SYSTEM ENGINEERING</t>
  </si>
  <si>
    <t>HEAD</t>
  </si>
  <si>
    <t>HEADS</t>
  </si>
  <si>
    <t>HEAD ASSY</t>
  </si>
  <si>
    <t>MECH #2 ASSY</t>
  </si>
  <si>
    <t>ELEC ENGINEERING</t>
  </si>
  <si>
    <t>GA</t>
  </si>
  <si>
    <t>CONTROL CABINET</t>
  </si>
  <si>
    <t>FRAME/DRILL/FEET</t>
  </si>
  <si>
    <t>FRAME/CLAD/DRIL/FEET</t>
  </si>
  <si>
    <t>CHG PARTS / MECH #3</t>
  </si>
  <si>
    <t>FRAME / CENTRIFUGE</t>
  </si>
  <si>
    <t>MECH ASSEMBLY</t>
  </si>
  <si>
    <t>FRAME</t>
  </si>
  <si>
    <t>PNEU DWG\SCHEMATIC</t>
  </si>
  <si>
    <t>VALVE PANEL ASSY</t>
  </si>
  <si>
    <t>MECHANICAL ASSEMBLY</t>
  </si>
  <si>
    <t>OPERATOR BOX</t>
  </si>
  <si>
    <t>COLUMN JACK/RATCHET</t>
  </si>
  <si>
    <t>TURRET/CORE ASSY</t>
  </si>
  <si>
    <t>CONTROL BOX</t>
  </si>
  <si>
    <t>PNEUMATIC ASSY</t>
  </si>
  <si>
    <t>ELEC ASSEMBLY</t>
  </si>
  <si>
    <t>CONTROL PANEL</t>
  </si>
  <si>
    <t>PLUMBING</t>
  </si>
  <si>
    <t>MECH ASSY</t>
  </si>
  <si>
    <t>ELEC INTEGRATION</t>
  </si>
  <si>
    <t>DRIVE ASSY</t>
  </si>
  <si>
    <t>PLUMBING ASSY</t>
  </si>
  <si>
    <t>TEST</t>
  </si>
  <si>
    <t>PNEUMATICS</t>
  </si>
  <si>
    <t>MACHINE SHOP</t>
  </si>
  <si>
    <t>COLUMN JACK</t>
  </si>
  <si>
    <t>FAT/PUN LIST/CRT/SHP</t>
  </si>
  <si>
    <t>(CA) BOWL CASE ASSY</t>
  </si>
  <si>
    <t>FRS</t>
  </si>
  <si>
    <t>TEST / DEBUG</t>
  </si>
  <si>
    <t>COVERS</t>
  </si>
  <si>
    <t>THUMPER ASSY</t>
  </si>
  <si>
    <t>REWORK</t>
  </si>
  <si>
    <t>FAT / CRATE / SHIP</t>
  </si>
  <si>
    <t>DDS</t>
  </si>
  <si>
    <t>CRATE AND SHIP</t>
  </si>
  <si>
    <t>LUBE SYSTEM</t>
  </si>
  <si>
    <t>VENDOR REWORK</t>
  </si>
  <si>
    <t>INSPECTION</t>
  </si>
  <si>
    <t>(CA) DRIVE ASSY</t>
  </si>
  <si>
    <t>ELEC DWG\SCHEMATIC</t>
  </si>
  <si>
    <t>MECH ENG REWORK</t>
  </si>
  <si>
    <t>CONVEYOR ASSY</t>
  </si>
  <si>
    <t>SEND OUTSIDE</t>
  </si>
  <si>
    <t>ELEC ENG REWORK</t>
  </si>
  <si>
    <t>JUNCTION BOX</t>
  </si>
  <si>
    <t>ENG REWORK</t>
  </si>
  <si>
    <t>MACHINE SHOP &amp; WELD</t>
  </si>
  <si>
    <t>ELEC ENGR REWORK</t>
  </si>
  <si>
    <t>(PL) HOSES/FITTINGS</t>
  </si>
  <si>
    <t>MECH ENGR REWORK</t>
  </si>
  <si>
    <t>PLUMBING ASSEMBLY</t>
  </si>
  <si>
    <t>MFG REWORK</t>
  </si>
  <si>
    <t>PNEUMATICS ASSEMBLY</t>
  </si>
  <si>
    <t>HMI</t>
  </si>
  <si>
    <t>DRIVE PANEL ASSY</t>
  </si>
  <si>
    <t>HOIST / NAME PLATES</t>
  </si>
  <si>
    <t>MACHINE MOUNTED BOXS</t>
  </si>
  <si>
    <t>CONTROL PANEL ASSY</t>
  </si>
  <si>
    <t>CELL COLLECTION VESL</t>
  </si>
  <si>
    <t>ELECT INTEGRATION</t>
  </si>
  <si>
    <t>JUNCTION BOXES</t>
  </si>
  <si>
    <t>CHILLER</t>
  </si>
  <si>
    <t>GUARDING ASSY</t>
  </si>
  <si>
    <t>(PN) AIRPREP/BULKHD</t>
  </si>
  <si>
    <t>ASSY FEEDER/NEO-MATE</t>
  </si>
  <si>
    <t>RESLURRY SKID ASSY</t>
  </si>
  <si>
    <t>FAT \ CRATE \ SHIP</t>
  </si>
  <si>
    <t>VAC CENTRATE SKID</t>
  </si>
  <si>
    <t>CHILLER ASSY</t>
  </si>
  <si>
    <t>MACHINE SHOP \ WELD</t>
  </si>
  <si>
    <t>ME</t>
  </si>
  <si>
    <t>EE</t>
  </si>
  <si>
    <t>SW</t>
  </si>
  <si>
    <t>TS</t>
  </si>
  <si>
    <t>MA</t>
  </si>
  <si>
    <t>EA</t>
  </si>
  <si>
    <t>P12</t>
  </si>
  <si>
    <t>P18</t>
  </si>
  <si>
    <t>P06</t>
  </si>
  <si>
    <t>ENGINEERING</t>
  </si>
  <si>
    <t>ASSEMBLY</t>
  </si>
  <si>
    <t>MISC</t>
  </si>
  <si>
    <t>Ignore</t>
  </si>
  <si>
    <t>UNI</t>
  </si>
  <si>
    <t>U2K</t>
  </si>
  <si>
    <t>V12</t>
  </si>
  <si>
    <t>CELL8</t>
  </si>
  <si>
    <t>LAB3</t>
  </si>
  <si>
    <t>PILOT</t>
  </si>
  <si>
    <t>POWERFUGE</t>
  </si>
  <si>
    <t>STEAM PILOT</t>
  </si>
  <si>
    <t>SEMI</t>
  </si>
  <si>
    <t>AUTO</t>
  </si>
  <si>
    <t>ROTARY</t>
  </si>
  <si>
    <t>MIN</t>
  </si>
  <si>
    <t>ELECTRICAL ASSEMBLY</t>
  </si>
  <si>
    <t>Last Parts</t>
  </si>
  <si>
    <t>HIST</t>
  </si>
  <si>
    <t>0042</t>
  </si>
  <si>
    <t>0044</t>
  </si>
  <si>
    <t xml:space="preserve">MACHINE SHOP        </t>
  </si>
  <si>
    <t>0025</t>
  </si>
  <si>
    <t xml:space="preserve">F.S. IN ASSEMBLY    </t>
  </si>
  <si>
    <t>AKFS1</t>
  </si>
  <si>
    <t xml:space="preserve">MECH ASSEMBLY       </t>
  </si>
  <si>
    <t>0020</t>
  </si>
  <si>
    <t>MB65C</t>
  </si>
  <si>
    <t xml:space="preserve">431774      </t>
  </si>
  <si>
    <t>M642790</t>
  </si>
  <si>
    <t xml:space="preserve">C0788P18       </t>
  </si>
  <si>
    <t>0010</t>
  </si>
  <si>
    <t xml:space="preserve">MECH ENGINEERING    </t>
  </si>
  <si>
    <t>EE07C</t>
  </si>
  <si>
    <t>ACTIVE</t>
  </si>
  <si>
    <t>ELEC ENGR PRIME AUTO</t>
  </si>
  <si>
    <t>PRENG</t>
  </si>
  <si>
    <t xml:space="preserve">FRAME               </t>
  </si>
  <si>
    <t>KC60C</t>
  </si>
  <si>
    <t>0043</t>
  </si>
  <si>
    <t xml:space="preserve">(CA) BOWL CASE ASSY </t>
  </si>
  <si>
    <t>0045</t>
  </si>
  <si>
    <t>0046</t>
  </si>
  <si>
    <t xml:space="preserve">(CA) DRIVE ASSY     </t>
  </si>
  <si>
    <t>0047</t>
  </si>
  <si>
    <t>0048</t>
  </si>
  <si>
    <t xml:space="preserve">(PL) HOSES/FITTINGS </t>
  </si>
  <si>
    <t>0049</t>
  </si>
  <si>
    <t>0051</t>
  </si>
  <si>
    <t xml:space="preserve">DRV PNL ASSY PRIME  </t>
  </si>
  <si>
    <t>PRASY</t>
  </si>
  <si>
    <t>0052</t>
  </si>
  <si>
    <t>CNTRL PNL ASSY PRIME</t>
  </si>
  <si>
    <t>0053</t>
  </si>
  <si>
    <t>JUNCTION BOXES PRIME</t>
  </si>
  <si>
    <t>0054</t>
  </si>
  <si>
    <t>0061</t>
  </si>
  <si>
    <t>0062</t>
  </si>
  <si>
    <t xml:space="preserve">(PN) AIRPREP/BULKHD </t>
  </si>
  <si>
    <t>0063</t>
  </si>
  <si>
    <t>0064</t>
  </si>
  <si>
    <t xml:space="preserve">HOIST / NAME PLATES </t>
  </si>
  <si>
    <t>0065</t>
  </si>
  <si>
    <t xml:space="preserve">RESLURRY SKID ASSY  </t>
  </si>
  <si>
    <t>0066</t>
  </si>
  <si>
    <t xml:space="preserve">VAC CENTRATE SKID   </t>
  </si>
  <si>
    <t>0067</t>
  </si>
  <si>
    <t xml:space="preserve">CHILLER ASSY        </t>
  </si>
  <si>
    <t xml:space="preserve">TEST                </t>
  </si>
  <si>
    <t>EE14C</t>
  </si>
  <si>
    <t>0080</t>
  </si>
  <si>
    <t xml:space="preserve">FAT \ CRATE \ SHIP  </t>
  </si>
  <si>
    <t xml:space="preserve">MECH ENGR REWORK    </t>
  </si>
  <si>
    <t>M649660</t>
  </si>
  <si>
    <t xml:space="preserve">C63290162      </t>
  </si>
  <si>
    <t>0040</t>
  </si>
  <si>
    <t xml:space="preserve">MECHANICAL ASSEMBLY </t>
  </si>
  <si>
    <t>M647800</t>
  </si>
  <si>
    <t xml:space="preserve">C65390030      </t>
  </si>
  <si>
    <t>M648070</t>
  </si>
  <si>
    <t xml:space="preserve">C65390236      </t>
  </si>
  <si>
    <t xml:space="preserve">MECH ENG REWORK     </t>
  </si>
  <si>
    <t>M647840</t>
  </si>
  <si>
    <t xml:space="preserve">C65490088      </t>
  </si>
  <si>
    <t>M647400</t>
  </si>
  <si>
    <t xml:space="preserve">C65500646      </t>
  </si>
  <si>
    <t>EE15C</t>
  </si>
  <si>
    <t>M299280</t>
  </si>
  <si>
    <t xml:space="preserve">C65803248      </t>
  </si>
  <si>
    <t>2000</t>
  </si>
  <si>
    <t>3125C</t>
  </si>
  <si>
    <t>M647420</t>
  </si>
  <si>
    <t xml:space="preserve">C65890394      </t>
  </si>
  <si>
    <t xml:space="preserve">MACHINE SHOP &amp; WELD </t>
  </si>
  <si>
    <t>M121380</t>
  </si>
  <si>
    <t xml:space="preserve">C65890962      </t>
  </si>
  <si>
    <t>M121390</t>
  </si>
  <si>
    <t xml:space="preserve">C65890963      </t>
  </si>
  <si>
    <t>CUT/MILL/LATHE (ALL)</t>
  </si>
  <si>
    <t xml:space="preserve">2510 </t>
  </si>
  <si>
    <t xml:space="preserve">C0828UNI       </t>
  </si>
  <si>
    <t xml:space="preserve">C0841MIN       </t>
  </si>
  <si>
    <t xml:space="preserve"> 431774</t>
  </si>
  <si>
    <t xml:space="preserve">C0788P18-CGMP  </t>
  </si>
  <si>
    <t xml:space="preserve">C0788P18-CHI   </t>
  </si>
  <si>
    <t xml:space="preserve">C0788P18-COMP  </t>
  </si>
  <si>
    <t xml:space="preserve">C0788P18-IQOQ  </t>
  </si>
  <si>
    <t xml:space="preserve">C0788P18-MAN   </t>
  </si>
  <si>
    <t xml:space="preserve">C0788P18-SAT   </t>
  </si>
  <si>
    <t xml:space="preserve">C0788P18L1     </t>
  </si>
  <si>
    <t>P18 FAT-CHINESE</t>
  </si>
  <si>
    <t>P18 SAT-CHINESE</t>
  </si>
  <si>
    <t>P18IQOQ-CHINESE</t>
  </si>
  <si>
    <t xml:space="preserve">C65600367      </t>
  </si>
  <si>
    <t xml:space="preserve">BRACE, TOWER, P18, RADIUSED   </t>
  </si>
  <si>
    <t xml:space="preserve">C100382-1      </t>
  </si>
  <si>
    <t xml:space="preserve">O-RING 12.975 ID X .210 DIA.  </t>
  </si>
  <si>
    <t xml:space="preserve">C340829        </t>
  </si>
  <si>
    <t xml:space="preserve">RTD 3-WIRE PT100 1.125" PROBE </t>
  </si>
  <si>
    <t xml:space="preserve">C342674        </t>
  </si>
  <si>
    <t xml:space="preserve">CABLE ETHERNET SHIELDED 15M   </t>
  </si>
  <si>
    <t xml:space="preserve">C280391        </t>
  </si>
  <si>
    <t xml:space="preserve">CLAMP SAN 2" ASME 2 BOLT      </t>
  </si>
  <si>
    <t xml:space="preserve">STUD, RESLURRY VESSEL, 10"    </t>
  </si>
  <si>
    <t xml:space="preserve">C480024        </t>
  </si>
  <si>
    <t xml:space="preserve">TUBING,TEFLON 1/4 OD X.170ID  </t>
  </si>
  <si>
    <t xml:space="preserve">C342551        </t>
  </si>
  <si>
    <t xml:space="preserve">C4000 Photometric Converter   </t>
  </si>
  <si>
    <t xml:space="preserve">C247021        </t>
  </si>
  <si>
    <t xml:space="preserve">SHCS 1/4-20 X 1-3/4           </t>
  </si>
  <si>
    <t xml:space="preserve">C340796        </t>
  </si>
  <si>
    <t xml:space="preserve">SWITCH PROX 12MM DC M12-QD    </t>
  </si>
  <si>
    <t xml:space="preserve">C500322        </t>
  </si>
  <si>
    <t xml:space="preserve">FLOWMETER, 150mm              </t>
  </si>
  <si>
    <t xml:space="preserve">C342668        </t>
  </si>
  <si>
    <t xml:space="preserve">MANUAL - C4202 CONVERTER, ENG </t>
  </si>
  <si>
    <t xml:space="preserve">C420701        </t>
  </si>
  <si>
    <t xml:space="preserve">FITTING 1/2NPT X 3/8 TUBE REL </t>
  </si>
  <si>
    <t xml:space="preserve">C420032        </t>
  </si>
  <si>
    <t xml:space="preserve">FITTING 1/8 NPT - 1/4 TUBE    </t>
  </si>
  <si>
    <t xml:space="preserve">C342552        </t>
  </si>
  <si>
    <t xml:space="preserve">Front Panel Mounting Kit      </t>
  </si>
  <si>
    <t xml:space="preserve">C65200635      </t>
  </si>
  <si>
    <t xml:space="preserve">BRACKET, PROX.                </t>
  </si>
  <si>
    <t xml:space="preserve">C321372        </t>
  </si>
  <si>
    <t xml:space="preserve">MOTOR WD 1HP SST 143TC TEFC   </t>
  </si>
  <si>
    <t xml:space="preserve">C280086-EP     </t>
  </si>
  <si>
    <t xml:space="preserve">COTTER PIN ELECTROPOLISHED    </t>
  </si>
  <si>
    <t xml:space="preserve">INNOVAX, P18, LONG LEAD       </t>
  </si>
  <si>
    <t xml:space="preserve">C420679        </t>
  </si>
  <si>
    <t xml:space="preserve">G1/8 X 1/4 TUBE PUSH IN FIT   </t>
  </si>
  <si>
    <t xml:space="preserve">C247004        </t>
  </si>
  <si>
    <t>HHCS,5/8-11X3 1/2,SA193 -B8CL2</t>
  </si>
  <si>
    <t xml:space="preserve">C330733        </t>
  </si>
  <si>
    <t xml:space="preserve">TERMINAL BLOCK 35A BLOCK      </t>
  </si>
  <si>
    <t xml:space="preserve">C280242        </t>
  </si>
  <si>
    <t xml:space="preserve">CLAMP 3/8 TUBE                </t>
  </si>
  <si>
    <t xml:space="preserve">C342670        </t>
  </si>
  <si>
    <t xml:space="preserve">PARAMETER SET C4000-AF16-N    </t>
  </si>
  <si>
    <t xml:space="preserve">C280139        </t>
  </si>
  <si>
    <t xml:space="preserve">PIN, HAIR                     </t>
  </si>
  <si>
    <t xml:space="preserve">C210056        </t>
  </si>
  <si>
    <t xml:space="preserve">GASKET, SAN., 3" FDA          </t>
  </si>
  <si>
    <t xml:space="preserve">C280208        </t>
  </si>
  <si>
    <t xml:space="preserve">CLAMP, SANITARY 2 1/2         </t>
  </si>
  <si>
    <t xml:space="preserve">C100382        </t>
  </si>
  <si>
    <t xml:space="preserve">O-RING, 13.565 ID X .210 DIA  </t>
  </si>
  <si>
    <t xml:space="preserve">C500315        </t>
  </si>
  <si>
    <t xml:space="preserve">CARTRIDGE, FILTER             </t>
  </si>
  <si>
    <t xml:space="preserve">C280163        </t>
  </si>
  <si>
    <t xml:space="preserve">CLAMP 3/4"                    </t>
  </si>
  <si>
    <t xml:space="preserve">C280392        </t>
  </si>
  <si>
    <t xml:space="preserve">CLAMP SAN 3" ASMR 2 BOLT      </t>
  </si>
  <si>
    <t xml:space="preserve">C380118        </t>
  </si>
  <si>
    <t xml:space="preserve">BELT                          </t>
  </si>
  <si>
    <t xml:space="preserve">C340831        </t>
  </si>
  <si>
    <t xml:space="preserve">RECPTCL 4P (M) M12 ST 1/2"NPT </t>
  </si>
  <si>
    <t xml:space="preserve">C210142        </t>
  </si>
  <si>
    <t xml:space="preserve">GASKET, VALVE TREE            </t>
  </si>
  <si>
    <t xml:space="preserve">C420683        </t>
  </si>
  <si>
    <t xml:space="preserve">1/4 TUBE TEE PUSH IN          </t>
  </si>
  <si>
    <t xml:space="preserve">C63802175      </t>
  </si>
  <si>
    <t xml:space="preserve">MOUNTING ANGLE                </t>
  </si>
  <si>
    <t xml:space="preserve">C100277        </t>
  </si>
  <si>
    <t xml:space="preserve">O-RING,11.484 ID X .139, EDPM </t>
  </si>
  <si>
    <t xml:space="preserve">C280058        </t>
  </si>
  <si>
    <t xml:space="preserve">CLAMP 3/4" TUBE 2PC           </t>
  </si>
  <si>
    <t xml:space="preserve">C210103        </t>
  </si>
  <si>
    <t xml:space="preserve">GASKET SAN 2" ERIKS EPDM      </t>
  </si>
  <si>
    <t xml:space="preserve">C280113        </t>
  </si>
  <si>
    <t xml:space="preserve">CLAMP SAN 1-1/2"              </t>
  </si>
  <si>
    <t xml:space="preserve">C63890516      </t>
  </si>
  <si>
    <t xml:space="preserve">C280303        </t>
  </si>
  <si>
    <t xml:space="preserve">CLAMP, SANITARY 2             </t>
  </si>
  <si>
    <t>CO431774 - 788P18</t>
  </si>
  <si>
    <t>POWERFUGE P18 INNOVAX</t>
  </si>
  <si>
    <t>788P18</t>
  </si>
  <si>
    <t>MECHANICAL &amp; PNEUMATIC ASSY</t>
  </si>
  <si>
    <t>C500231</t>
  </si>
  <si>
    <t>SHIPPING SKID, CENTRIFUGE</t>
  </si>
  <si>
    <t>C500232</t>
  </si>
  <si>
    <t>SHIPPING CRATE,P18 BRG &amp; XFER</t>
  </si>
  <si>
    <t>C65901766</t>
  </si>
  <si>
    <t>PLUMBING ASSY., P18</t>
  </si>
  <si>
    <t>C481869</t>
  </si>
  <si>
    <t>HOSE ASSY,SIL,1",90x90,51.01"L</t>
  </si>
  <si>
    <t>P560404</t>
  </si>
  <si>
    <t>C481871</t>
  </si>
  <si>
    <t>HOSE ASSY,SIL,1",90x90,40.68"L</t>
  </si>
  <si>
    <t>C481872</t>
  </si>
  <si>
    <t>HOSE ASSY SIL,1", STRx45x37.4"</t>
  </si>
  <si>
    <t>C241014</t>
  </si>
  <si>
    <t>HHCS,5/16-18X1,316</t>
  </si>
  <si>
    <t>C243013</t>
  </si>
  <si>
    <t>BHCS,10-32X1/2,316</t>
  </si>
  <si>
    <t>C280125</t>
  </si>
  <si>
    <t>MOUNTING RAIL, 304SS 78.72</t>
  </si>
  <si>
    <t>C0788P18ORNGKIT</t>
  </si>
  <si>
    <t>O-RING KIT C0788P18 C0789P18</t>
  </si>
  <si>
    <t>M396640</t>
  </si>
  <si>
    <t>C0788P18L1</t>
  </si>
  <si>
    <t>LEVEL 1 SPARE PARTS KIT</t>
  </si>
  <si>
    <t>C500315</t>
  </si>
  <si>
    <t>CARTRIDGE, FILTER</t>
  </si>
  <si>
    <t>C500889</t>
  </si>
  <si>
    <t>AB 5" EMFLON PFR FILTER 0.2MM</t>
  </si>
  <si>
    <t xml:space="preserve">C0788P18-01    </t>
  </si>
  <si>
    <t xml:space="preserve">C0788P18-EE    </t>
  </si>
  <si>
    <t xml:space="preserve">ELECTRICAL INTEGRATION        </t>
  </si>
  <si>
    <t>P562401</t>
  </si>
  <si>
    <t>P562436</t>
  </si>
  <si>
    <t xml:space="preserve">449022      </t>
  </si>
  <si>
    <t>M248070</t>
  </si>
  <si>
    <t xml:space="preserve">C0834P12       </t>
  </si>
  <si>
    <t xml:space="preserve">DRIVE PANEL ASSY    </t>
  </si>
  <si>
    <t xml:space="preserve">CONTROL PANEL ASSY  </t>
  </si>
  <si>
    <t xml:space="preserve">JUNCTION BOXES      </t>
  </si>
  <si>
    <t>M283660</t>
  </si>
  <si>
    <t xml:space="preserve">C0834P12-SE    </t>
  </si>
  <si>
    <t xml:space="preserve"> 449022</t>
  </si>
  <si>
    <t xml:space="preserve">C0834P12-CGMP  </t>
  </si>
  <si>
    <t xml:space="preserve">C0834P12-COMP  </t>
  </si>
  <si>
    <t xml:space="preserve">C0834P12-IQOQ  </t>
  </si>
  <si>
    <t xml:space="preserve">C0834P12-MAN   </t>
  </si>
  <si>
    <t>C0834P12MAN-ITA</t>
  </si>
  <si>
    <t>CO449022 - 834P12</t>
  </si>
  <si>
    <t>C0834P12</t>
  </si>
  <si>
    <t>GSK ITALY</t>
  </si>
  <si>
    <t>834P12</t>
  </si>
  <si>
    <t>M257900</t>
  </si>
  <si>
    <t>C63500694</t>
  </si>
  <si>
    <t>MECHANICAL ASSEMBLY P12</t>
  </si>
  <si>
    <t>C249135</t>
  </si>
  <si>
    <t>3/16" DRIVE SCREW</t>
  </si>
  <si>
    <t>C63500649</t>
  </si>
  <si>
    <t>PRESS BDRY CAT 3 PED P12 INSL.</t>
  </si>
  <si>
    <t>P537621/P545764</t>
  </si>
  <si>
    <t>M258060</t>
  </si>
  <si>
    <t>C63890988</t>
  </si>
  <si>
    <t>HOIST ASSY</t>
  </si>
  <si>
    <t>C241033</t>
  </si>
  <si>
    <t>HHCS,1/2-13X1 1/4,316</t>
  </si>
  <si>
    <t>C271004</t>
  </si>
  <si>
    <t>WASHER,FLAT,1/2,316</t>
  </si>
  <si>
    <t>HDWR</t>
  </si>
  <si>
    <t>C271012</t>
  </si>
  <si>
    <t>WASHER,LOCK,1/2,316</t>
  </si>
  <si>
    <t>C271032</t>
  </si>
  <si>
    <t>WASHER RUBBER, 1/2</t>
  </si>
  <si>
    <t>M258320</t>
  </si>
  <si>
    <t>C63290166</t>
  </si>
  <si>
    <t>BEARING HOUSING ASSY, P12</t>
  </si>
  <si>
    <t>C240028</t>
  </si>
  <si>
    <t>SHCS,10-32X1/2,316</t>
  </si>
  <si>
    <t>C242010</t>
  </si>
  <si>
    <t>SSS,10-32X3/8,316</t>
  </si>
  <si>
    <t>C242014</t>
  </si>
  <si>
    <t>SSS,1/4-20X3/8,316</t>
  </si>
  <si>
    <t>M258330</t>
  </si>
  <si>
    <t>C63390253</t>
  </si>
  <si>
    <t>CENTRATE CASE ASSY</t>
  </si>
  <si>
    <t>C63300629</t>
  </si>
  <si>
    <t>GATE RETAINER</t>
  </si>
  <si>
    <t>P548155</t>
  </si>
  <si>
    <t>M258350</t>
  </si>
  <si>
    <t>C63490089</t>
  </si>
  <si>
    <t>LOWER CASE ASSY, P12 GENERIC</t>
  </si>
  <si>
    <t>C241034</t>
  </si>
  <si>
    <t>HHCS,1/2-13X1 1/2,316</t>
  </si>
  <si>
    <t>C241122</t>
  </si>
  <si>
    <t>HHCS 1/2-20 X 1 1/2LG, 18 -8</t>
  </si>
  <si>
    <t>C242009</t>
  </si>
  <si>
    <t>SSS,10-32X1/4,316</t>
  </si>
  <si>
    <t>C270055</t>
  </si>
  <si>
    <t>HEX, JAM 1/2-20, 316</t>
  </si>
  <si>
    <t>M258620</t>
  </si>
  <si>
    <t>C63390255</t>
  </si>
  <si>
    <t>ASSEMBLY SWINGLOCK</t>
  </si>
  <si>
    <t>C240133</t>
  </si>
  <si>
    <t>SHCS, 1/4-20 X 4, 18-8</t>
  </si>
  <si>
    <t>C63300514</t>
  </si>
  <si>
    <t>STUD, SWINGLOCK ROLLER</t>
  </si>
  <si>
    <t>P555987</t>
  </si>
  <si>
    <t>M258690</t>
  </si>
  <si>
    <t>C63290167</t>
  </si>
  <si>
    <t>ASSEMBLY SWINGLOCK ROLLER, G3</t>
  </si>
  <si>
    <t>C63200616</t>
  </si>
  <si>
    <t>BEARING SPACER</t>
  </si>
  <si>
    <t>M299360</t>
  </si>
  <si>
    <t>C63891009</t>
  </si>
  <si>
    <t>RESLURRY SKID ASSY, W/SWCHPAK</t>
  </si>
  <si>
    <t>C241031</t>
  </si>
  <si>
    <t>HHCS,1/2-13X3/4,316</t>
  </si>
  <si>
    <t>M315920</t>
  </si>
  <si>
    <t>C63690123</t>
  </si>
  <si>
    <t>DRIVE ASSEMBLY, P12 15HP</t>
  </si>
  <si>
    <t>C241003</t>
  </si>
  <si>
    <t>HHCS,1/4-20X5/8,316</t>
  </si>
  <si>
    <t>C241035</t>
  </si>
  <si>
    <t>HHCS,1/2-13X1 3/4,316</t>
  </si>
  <si>
    <t>C241070</t>
  </si>
  <si>
    <t>HHCS,10-32X3/4,316</t>
  </si>
  <si>
    <t>C241133</t>
  </si>
  <si>
    <t>HHCS, 3/8 X 2 1/2, 18-8</t>
  </si>
  <si>
    <t>C271024</t>
  </si>
  <si>
    <t>WASHER,THICK,1/2</t>
  </si>
  <si>
    <t>M319860</t>
  </si>
  <si>
    <t>C63690124</t>
  </si>
  <si>
    <t>DRIVE ASSEMBLY</t>
  </si>
  <si>
    <t>C241024</t>
  </si>
  <si>
    <t>HHCS,3/8-16X1 1/4,316</t>
  </si>
  <si>
    <t>C270029</t>
  </si>
  <si>
    <t>NUT,HEX,1/2-20,316</t>
  </si>
  <si>
    <t>M362560</t>
  </si>
  <si>
    <t>C63890908</t>
  </si>
  <si>
    <t>FRAME ASSY P12</t>
  </si>
  <si>
    <t>C270005</t>
  </si>
  <si>
    <t>NUT,HEX,1/2-13,316</t>
  </si>
  <si>
    <t>FL00RMB</t>
  </si>
  <si>
    <t>M368910</t>
  </si>
  <si>
    <t>C63901794</t>
  </si>
  <si>
    <t>PLUMBING ASSY P12</t>
  </si>
  <si>
    <t>C400780</t>
  </si>
  <si>
    <t>VALVE,DIA.,ZSBT,1.5-.5,ITT</t>
  </si>
  <si>
    <t>P561759</t>
  </si>
  <si>
    <t>C400890</t>
  </si>
  <si>
    <t>VALVE,DIA.,ZSBT,.5-.5,ITT</t>
  </si>
  <si>
    <t>C401321</t>
  </si>
  <si>
    <t>VALVE, DIA., .5, ITT, PRISM PI</t>
  </si>
  <si>
    <t>P558674</t>
  </si>
  <si>
    <t>C401322</t>
  </si>
  <si>
    <t>VALVE, DIA., 1NO,ITT,PRISM PI</t>
  </si>
  <si>
    <t>C401323</t>
  </si>
  <si>
    <t>VALVE, DIA., 1, ITT, PRISM PI</t>
  </si>
  <si>
    <t>C401324</t>
  </si>
  <si>
    <t>C401325</t>
  </si>
  <si>
    <t>C401326</t>
  </si>
  <si>
    <t>VALVE, DIA., .75,ITT,PRISM PI</t>
  </si>
  <si>
    <t>C401328</t>
  </si>
  <si>
    <t>VALVE,DIA,SA,1-.5,ITT,PRISM PI</t>
  </si>
  <si>
    <t>C401329</t>
  </si>
  <si>
    <t>VALVE,DIA.,SA,.5NO-.5,ITT</t>
  </si>
  <si>
    <t>C401330</t>
  </si>
  <si>
    <t>VALVE,DIA.,SA,.5-.5,ITT</t>
  </si>
  <si>
    <t>C401331</t>
  </si>
  <si>
    <t>VALVE,DIA.,SA,.75-.5,ITT</t>
  </si>
  <si>
    <t>C401332</t>
  </si>
  <si>
    <t>VALVE,DIA.,SA,1-.5,ITT,PRISMPI</t>
  </si>
  <si>
    <t>C401334</t>
  </si>
  <si>
    <t>C401335</t>
  </si>
  <si>
    <t>VALVE,DIA.,GMP,.5-.5, ITT</t>
  </si>
  <si>
    <t>C401336</t>
  </si>
  <si>
    <t>C401337</t>
  </si>
  <si>
    <t>VALVE,DIA.,HSA,1-.5,ITT</t>
  </si>
  <si>
    <t>C401339</t>
  </si>
  <si>
    <t>VALVE,DIA.,HAS,.5NO-.5,ITT</t>
  </si>
  <si>
    <t>C401341</t>
  </si>
  <si>
    <t>VALVE,DIA.,HAS,1NC-.5,ITT</t>
  </si>
  <si>
    <t>C401345</t>
  </si>
  <si>
    <t>VALVE,VSPEC,1.5-1.5-.5,ITT</t>
  </si>
  <si>
    <t>C430640</t>
  </si>
  <si>
    <t>WELDMENT, SANITARY TUBING, BSI</t>
  </si>
  <si>
    <t>P561305</t>
  </si>
  <si>
    <t>C430641</t>
  </si>
  <si>
    <t>WELDMENT SANITARY TUBING, BSI</t>
  </si>
  <si>
    <t>C430644</t>
  </si>
  <si>
    <t>TEE, 1/2" RTD WELL, BSI</t>
  </si>
  <si>
    <t>C430645</t>
  </si>
  <si>
    <t>C430646</t>
  </si>
  <si>
    <t>TEE, 1/2"  RTD WELL, BSI</t>
  </si>
  <si>
    <t>C430647</t>
  </si>
  <si>
    <t>C430648</t>
  </si>
  <si>
    <t>TEE, SHORT, 3/4" TRI CLAMP</t>
  </si>
  <si>
    <t>C500058</t>
  </si>
  <si>
    <t>SIGHT GLASS,1/2</t>
  </si>
  <si>
    <t>P561757</t>
  </si>
  <si>
    <t>C500687</t>
  </si>
  <si>
    <t>INLINE SIGHT GLASS 3/4"</t>
  </si>
  <si>
    <t>C63801564</t>
  </si>
  <si>
    <t>BRACKET, PIPE SUPPORT</t>
  </si>
  <si>
    <t>P561919</t>
  </si>
  <si>
    <t>C63801839</t>
  </si>
  <si>
    <t>C63801850</t>
  </si>
  <si>
    <t>C63802058</t>
  </si>
  <si>
    <t>C63802121</t>
  </si>
  <si>
    <t>BRACKET WELDMENT</t>
  </si>
  <si>
    <t>C63802154</t>
  </si>
  <si>
    <t>SUPPORT BRACKET WELDMENT</t>
  </si>
  <si>
    <t>C63802323</t>
  </si>
  <si>
    <t>BRACKET SUPPORT WELDMENT</t>
  </si>
  <si>
    <t>C63803405</t>
  </si>
  <si>
    <t>C63803406</t>
  </si>
  <si>
    <t>C63803417</t>
  </si>
  <si>
    <t>WELDMENT, SUPPORT BRACKE</t>
  </si>
  <si>
    <t>C63803424</t>
  </si>
  <si>
    <t>WELDMENT, BRACKET</t>
  </si>
  <si>
    <t>C63803427</t>
  </si>
  <si>
    <t>WELDMENT, SUPPORT BRACKET</t>
  </si>
  <si>
    <t>C63803430</t>
  </si>
  <si>
    <t>WELDMENT, FRAME SUPPORT</t>
  </si>
  <si>
    <t>C63803431</t>
  </si>
  <si>
    <t>C63803432</t>
  </si>
  <si>
    <t>C63803433</t>
  </si>
  <si>
    <t>PIPE CLAMP, SPACER</t>
  </si>
  <si>
    <t>P561904</t>
  </si>
  <si>
    <t>C63803434</t>
  </si>
  <si>
    <t>C63901796</t>
  </si>
  <si>
    <t>C63901797</t>
  </si>
  <si>
    <t>C63901799</t>
  </si>
  <si>
    <t>C63901800</t>
  </si>
  <si>
    <t>C63901801</t>
  </si>
  <si>
    <t>C63901802</t>
  </si>
  <si>
    <t>SPOOL PIECE, 1/2", BSI</t>
  </si>
  <si>
    <t>C63901803</t>
  </si>
  <si>
    <t>C63901804</t>
  </si>
  <si>
    <t>C63901805</t>
  </si>
  <si>
    <t>C63901806</t>
  </si>
  <si>
    <t>C63901807</t>
  </si>
  <si>
    <t>C63901808</t>
  </si>
  <si>
    <t>C63901809</t>
  </si>
  <si>
    <t>C63901810</t>
  </si>
  <si>
    <t>C63901811</t>
  </si>
  <si>
    <t>C63901812</t>
  </si>
  <si>
    <t>C63901814</t>
  </si>
  <si>
    <t>C63901815</t>
  </si>
  <si>
    <t>C63901816</t>
  </si>
  <si>
    <t>C63901817</t>
  </si>
  <si>
    <t>C63901818</t>
  </si>
  <si>
    <t>C63901819</t>
  </si>
  <si>
    <t>C63901820</t>
  </si>
  <si>
    <t>C63901821</t>
  </si>
  <si>
    <t>C63901822</t>
  </si>
  <si>
    <t>END CAP, MODIFIED, 4", BSI</t>
  </si>
  <si>
    <t>C63901823</t>
  </si>
  <si>
    <t>C63901824</t>
  </si>
  <si>
    <t>C63901825</t>
  </si>
  <si>
    <t>C63901826</t>
  </si>
  <si>
    <t>C63901827</t>
  </si>
  <si>
    <t>C63901828</t>
  </si>
  <si>
    <t>C63901829</t>
  </si>
  <si>
    <t>C63901830</t>
  </si>
  <si>
    <t>C63901831</t>
  </si>
  <si>
    <t>C63901832</t>
  </si>
  <si>
    <t>C63901833</t>
  </si>
  <si>
    <t>C63901834</t>
  </si>
  <si>
    <t>C63901835</t>
  </si>
  <si>
    <t>C63901836</t>
  </si>
  <si>
    <t>1-.5 REDUCER WELDMENT, BSI</t>
  </si>
  <si>
    <t>C63901837</t>
  </si>
  <si>
    <t>C63901838</t>
  </si>
  <si>
    <t>C63901840</t>
  </si>
  <si>
    <t>BRCKT, INSTRUMENT TEE SUPPORT</t>
  </si>
  <si>
    <t>C63901842</t>
  </si>
  <si>
    <t>C63901843</t>
  </si>
  <si>
    <t>C63901844</t>
  </si>
  <si>
    <t>M376210</t>
  </si>
  <si>
    <t>C63891014</t>
  </si>
  <si>
    <t>SKID ASSY VACUUM CENT RECEIVER</t>
  </si>
  <si>
    <t>C63802251</t>
  </si>
  <si>
    <t>CENTRATE RECEIVER VESSEL FAB</t>
  </si>
  <si>
    <t>P545764</t>
  </si>
  <si>
    <t>M391460</t>
  </si>
  <si>
    <t>C400450</t>
  </si>
  <si>
    <t>VALVE, DIAPHRAGM, EPDM</t>
  </si>
  <si>
    <t>C400592</t>
  </si>
  <si>
    <t>PNEUMATIC ACTUATOR</t>
  </si>
  <si>
    <t>P561739</t>
  </si>
  <si>
    <t>C400593</t>
  </si>
  <si>
    <t>VALVE DIAPHRAGM</t>
  </si>
  <si>
    <t>C400594</t>
  </si>
  <si>
    <t>DIAPHRAGM VALVE BODY</t>
  </si>
  <si>
    <t>M391470</t>
  </si>
  <si>
    <t>C61800455</t>
  </si>
  <si>
    <t>MOUNTING RAIL</t>
  </si>
  <si>
    <t>M391480</t>
  </si>
  <si>
    <t>C63901847</t>
  </si>
  <si>
    <t>PIPE &amp; VALVE ASSY, FILTER ISOL</t>
  </si>
  <si>
    <t>C400568</t>
  </si>
  <si>
    <t>DIAPHRAGM, EPDM 1"</t>
  </si>
  <si>
    <t>C400569</t>
  </si>
  <si>
    <t>ACTUATOR,DIAPHRAGM VALVE 1.00"</t>
  </si>
  <si>
    <t>C63901846</t>
  </si>
  <si>
    <t xml:space="preserve">431772      </t>
  </si>
  <si>
    <t>M642800</t>
  </si>
  <si>
    <t xml:space="preserve">C0789P18       </t>
  </si>
  <si>
    <t>M649670</t>
  </si>
  <si>
    <t>M141620</t>
  </si>
  <si>
    <t>M177570</t>
  </si>
  <si>
    <t>M647860</t>
  </si>
  <si>
    <t>M648090</t>
  </si>
  <si>
    <t>M647900</t>
  </si>
  <si>
    <t>M647470</t>
  </si>
  <si>
    <t>M121330</t>
  </si>
  <si>
    <t>M121340</t>
  </si>
  <si>
    <t xml:space="preserve">431775      </t>
  </si>
  <si>
    <t>M652770</t>
  </si>
  <si>
    <t xml:space="preserve">C0793P18       </t>
  </si>
  <si>
    <t>M122270</t>
  </si>
  <si>
    <t>M122000</t>
  </si>
  <si>
    <t>M121500</t>
  </si>
  <si>
    <t>M177820</t>
  </si>
  <si>
    <t>M121430</t>
  </si>
  <si>
    <t>M121440</t>
  </si>
  <si>
    <t xml:space="preserve"> 431772</t>
  </si>
  <si>
    <t xml:space="preserve">C0789P18-CGMP  </t>
  </si>
  <si>
    <t xml:space="preserve">C0789P18-CHI   </t>
  </si>
  <si>
    <t xml:space="preserve">C0789P18-COMP  </t>
  </si>
  <si>
    <t xml:space="preserve">C0789P18-IQOQ  </t>
  </si>
  <si>
    <t xml:space="preserve">C0789P18-MAN   </t>
  </si>
  <si>
    <t xml:space="preserve">C0789P18-SAT   </t>
  </si>
  <si>
    <t xml:space="preserve">C0789P18L2     </t>
  </si>
  <si>
    <t xml:space="preserve"> 431775</t>
  </si>
  <si>
    <t xml:space="preserve">C0793P18-CGMP  </t>
  </si>
  <si>
    <t xml:space="preserve">C0793P18-CHI   </t>
  </si>
  <si>
    <t xml:space="preserve">C0793P18-COMP  </t>
  </si>
  <si>
    <t xml:space="preserve">C0793P18-IQOQ  </t>
  </si>
  <si>
    <t xml:space="preserve">C0793P18-L1    </t>
  </si>
  <si>
    <t xml:space="preserve">C0793P18-MAN   </t>
  </si>
  <si>
    <t xml:space="preserve">C0793P18-SAT   </t>
  </si>
  <si>
    <t xml:space="preserve"> 455878</t>
  </si>
  <si>
    <t xml:space="preserve">C0828UNI-CGMP  </t>
  </si>
  <si>
    <t xml:space="preserve">C0828UNI-MAN   </t>
  </si>
  <si>
    <t xml:space="preserve">C61890983      </t>
  </si>
  <si>
    <t xml:space="preserve"> 456103</t>
  </si>
  <si>
    <t xml:space="preserve">C0841MIN-CGMP  </t>
  </si>
  <si>
    <t xml:space="preserve">C0841MIN-IQOQ  </t>
  </si>
  <si>
    <t xml:space="preserve">C0841MIN-MAN   </t>
  </si>
  <si>
    <t xml:space="preserve">C68390001      </t>
  </si>
  <si>
    <t xml:space="preserve">C68390001-CGMP </t>
  </si>
  <si>
    <t xml:space="preserve">C100902        </t>
  </si>
  <si>
    <t xml:space="preserve">O-RING  .239 I.D. X .064      </t>
  </si>
  <si>
    <t xml:space="preserve">ASSY SWINGLOCK ROLLER G3      </t>
  </si>
  <si>
    <t xml:space="preserve">C100234        </t>
  </si>
  <si>
    <t xml:space="preserve">O-RING, 2.984 ID X .139       </t>
  </si>
  <si>
    <t xml:space="preserve">C420189        </t>
  </si>
  <si>
    <t xml:space="preserve">ELBOW, SWIVEL NUT #4          </t>
  </si>
  <si>
    <t xml:space="preserve">C65400407      </t>
  </si>
  <si>
    <t xml:space="preserve">WASHER, OUTER THRUST          </t>
  </si>
  <si>
    <t xml:space="preserve">C200025        </t>
  </si>
  <si>
    <t xml:space="preserve">GAS SEAL P18, FLOWSERVE       </t>
  </si>
  <si>
    <t xml:space="preserve">C500095        </t>
  </si>
  <si>
    <t xml:space="preserve">SPINDLE, P18                  </t>
  </si>
  <si>
    <t xml:space="preserve">C100163        </t>
  </si>
  <si>
    <t xml:space="preserve">O-RING, 5.987 ID X .103       </t>
  </si>
  <si>
    <t xml:space="preserve">C100009        </t>
  </si>
  <si>
    <t>O-RING, EPDM, .208ID X .070THK</t>
  </si>
  <si>
    <t xml:space="preserve">C100162        </t>
  </si>
  <si>
    <t>O-RING, EPDM,5.737ID X .103THK</t>
  </si>
  <si>
    <t xml:space="preserve">C100903        </t>
  </si>
  <si>
    <t xml:space="preserve">O-RING .301 I.D. X .056       </t>
  </si>
  <si>
    <t xml:space="preserve">C460007        </t>
  </si>
  <si>
    <t xml:space="preserve">EXHAUST MUFFLER               </t>
  </si>
  <si>
    <t xml:space="preserve">C210047        </t>
  </si>
  <si>
    <t xml:space="preserve">GASKET 1 1/2"                 </t>
  </si>
  <si>
    <t xml:space="preserve">C210042        </t>
  </si>
  <si>
    <t xml:space="preserve">GASKET SAN. 1/2" FDA EPDM     </t>
  </si>
  <si>
    <t xml:space="preserve">C480146        </t>
  </si>
  <si>
    <t>TUBING,TEF,1/4X 3/8OD X 1/4 ID</t>
  </si>
  <si>
    <t xml:space="preserve">C280130        </t>
  </si>
  <si>
    <t xml:space="preserve">CLAMP, 1 1/2"                 </t>
  </si>
  <si>
    <t xml:space="preserve">C420117        </t>
  </si>
  <si>
    <t xml:space="preserve">ELBOW FEMALE 1/4" TUBE X 1/8" </t>
  </si>
  <si>
    <t xml:space="preserve">C420556        </t>
  </si>
  <si>
    <t>QUICK STAR PUSH-PULL CONNECTOR</t>
  </si>
  <si>
    <t xml:space="preserve">C500226EP      </t>
  </si>
  <si>
    <t xml:space="preserve">SPRAYBALL 12GPM EP            </t>
  </si>
  <si>
    <t xml:space="preserve">455878      </t>
  </si>
  <si>
    <t>M384840</t>
  </si>
  <si>
    <t xml:space="preserve">C100160        </t>
  </si>
  <si>
    <t xml:space="preserve">O-RING 5.237 ID X .103        </t>
  </si>
  <si>
    <t xml:space="preserve">C341317        </t>
  </si>
  <si>
    <t xml:space="preserve">FILTER 5-MICRON FESTO MS      </t>
  </si>
  <si>
    <t xml:space="preserve">C100147        </t>
  </si>
  <si>
    <t xml:space="preserve">O-RING 2.675 ID X .103        </t>
  </si>
  <si>
    <t xml:space="preserve">C280237        </t>
  </si>
  <si>
    <t xml:space="preserve">SPRING COMPRESSION .54 X 1.5  </t>
  </si>
  <si>
    <t xml:space="preserve">C150132        </t>
  </si>
  <si>
    <t>O-RING, EPDM,7.540ID X .103THK</t>
  </si>
  <si>
    <t xml:space="preserve">C100242        </t>
  </si>
  <si>
    <t xml:space="preserve">O-RING, 3.984 ID X .139       </t>
  </si>
  <si>
    <t xml:space="preserve">C280191        </t>
  </si>
  <si>
    <t xml:space="preserve">SCREW BH 10-32 X 3/8 TEFLON   </t>
  </si>
  <si>
    <t xml:space="preserve">C100335        </t>
  </si>
  <si>
    <t xml:space="preserve">O-RING, 2.725 ID X .210       </t>
  </si>
  <si>
    <t xml:space="preserve">C100341        </t>
  </si>
  <si>
    <t xml:space="preserve">O-RING, 3.475 ID X .210       </t>
  </si>
  <si>
    <t xml:space="preserve">C100018        </t>
  </si>
  <si>
    <t xml:space="preserve">O-RING, .739 ID X .070        </t>
  </si>
  <si>
    <t xml:space="preserve">C380184        </t>
  </si>
  <si>
    <t xml:space="preserve">BELT, TIMING 27.0"            </t>
  </si>
  <si>
    <t xml:space="preserve">C100011        </t>
  </si>
  <si>
    <t xml:space="preserve">O-RING, .301 ID X .070        </t>
  </si>
  <si>
    <t xml:space="preserve">C110050        </t>
  </si>
  <si>
    <t>O-RING, VITON, 5.50ID X.070THK</t>
  </si>
  <si>
    <t xml:space="preserve">C61890987      </t>
  </si>
  <si>
    <t xml:space="preserve">GREASE FILLED PLASTIC JAR     </t>
  </si>
  <si>
    <t xml:space="preserve">C100034        </t>
  </si>
  <si>
    <t xml:space="preserve">O-RING, 2.114 ID X .070       </t>
  </si>
  <si>
    <t>CO431772 - 789P18</t>
  </si>
  <si>
    <t>C0789P18</t>
  </si>
  <si>
    <t>789P18</t>
  </si>
  <si>
    <t>M086940</t>
  </si>
  <si>
    <t>C65200153</t>
  </si>
  <si>
    <t>SPHERICAL BRG. OUTER RACE</t>
  </si>
  <si>
    <t>C65200153-SEND</t>
  </si>
  <si>
    <t>SEND TO F.H. PETERSON</t>
  </si>
  <si>
    <t>P529406</t>
  </si>
  <si>
    <t>M109170</t>
  </si>
  <si>
    <t>C0789P18-ME</t>
  </si>
  <si>
    <t>C500233</t>
  </si>
  <si>
    <t>SHIPPING CRATE, P18 BOWL&amp;CONE</t>
  </si>
  <si>
    <t>C500234</t>
  </si>
  <si>
    <t>SHIPPING CRATE, P18 DRIVE PNL</t>
  </si>
  <si>
    <t>C500235</t>
  </si>
  <si>
    <t>SHIPPING CRATE, P18 CTRL PNL</t>
  </si>
  <si>
    <t>M136460</t>
  </si>
  <si>
    <t>M396780</t>
  </si>
  <si>
    <t>C0789P18L2</t>
  </si>
  <si>
    <t>LEVEL 2 SPARE PARTS KIT</t>
  </si>
  <si>
    <t>C200077</t>
  </si>
  <si>
    <t>SEAL, DOUBLE MECH GAS P18</t>
  </si>
  <si>
    <t>P562389</t>
  </si>
  <si>
    <t>C280092</t>
  </si>
  <si>
    <t>SHOCK MOUNTS</t>
  </si>
  <si>
    <t>P562429</t>
  </si>
  <si>
    <t>C341342</t>
  </si>
  <si>
    <t>SENSOR RUP DISK ALERT 1-1/2"</t>
  </si>
  <si>
    <t>P562387</t>
  </si>
  <si>
    <t>M399120</t>
  </si>
  <si>
    <t>C200023</t>
  </si>
  <si>
    <t>INFLATABLE SEAL 15" C.L. DIA.</t>
  </si>
  <si>
    <t>P556212/P558051</t>
  </si>
  <si>
    <t>CO431775 - 793P18</t>
  </si>
  <si>
    <t>C0793P18</t>
  </si>
  <si>
    <t>793P18</t>
  </si>
  <si>
    <t>M136470</t>
  </si>
  <si>
    <t>M372200</t>
  </si>
  <si>
    <t>M396800</t>
  </si>
  <si>
    <t>C0793P18-L1</t>
  </si>
  <si>
    <t xml:space="preserve">C65890968      </t>
  </si>
  <si>
    <t xml:space="preserve">BOLT KIT, P18 GAS SEAL        </t>
  </si>
  <si>
    <t xml:space="preserve">C501128-EP     </t>
  </si>
  <si>
    <t xml:space="preserve">SPRAYBALL, ELECTROPOLISHED    </t>
  </si>
  <si>
    <t xml:space="preserve">C65200152      </t>
  </si>
  <si>
    <t xml:space="preserve">INNER RACE, SPHERICAL BEARING </t>
  </si>
  <si>
    <t xml:space="preserve">O-RING KIT C0788P18 C0789P18  </t>
  </si>
  <si>
    <t>M412570</t>
  </si>
  <si>
    <t xml:space="preserve">C243013        </t>
  </si>
  <si>
    <t xml:space="preserve">BHCS,10-32X1/2,316            </t>
  </si>
  <si>
    <t xml:space="preserve">C241068        </t>
  </si>
  <si>
    <t xml:space="preserve">HHCS,10-32X1/2,316            </t>
  </si>
  <si>
    <t xml:space="preserve">C241014        </t>
  </si>
  <si>
    <t xml:space="preserve">HHCS,5/16-18X1,316            </t>
  </si>
  <si>
    <t xml:space="preserve">C0788P18-SE    </t>
  </si>
  <si>
    <t xml:space="preserve">ELECTRICAL PANEL              </t>
  </si>
  <si>
    <t xml:space="preserve">C0788P18-PL    </t>
  </si>
  <si>
    <t xml:space="preserve">P&amp;ID &amp; PLUMBING               </t>
  </si>
  <si>
    <t xml:space="preserve">C0788P18-ME    </t>
  </si>
  <si>
    <t xml:space="preserve">MECHANICAL &amp; PNEUMATIC ASSY   </t>
  </si>
  <si>
    <t>C241015</t>
  </si>
  <si>
    <t>HHCS,5/16-18X1 1/4,316</t>
  </si>
  <si>
    <t>C481928</t>
  </si>
  <si>
    <t>LOADSURE ELEMENT, 800 SERIES</t>
  </si>
  <si>
    <t>P563806</t>
  </si>
  <si>
    <t>C0788P18-01</t>
  </si>
  <si>
    <t>AFTER SHIPMENT PARTS KIT</t>
  </si>
  <si>
    <t>M412590</t>
  </si>
  <si>
    <t>C500285</t>
  </si>
  <si>
    <t>ISOLATOR, VIBRATION SLM3A</t>
  </si>
  <si>
    <t>P562540</t>
  </si>
  <si>
    <t xml:space="preserve">C61390184-CGMP </t>
  </si>
  <si>
    <t xml:space="preserve">C420221        </t>
  </si>
  <si>
    <t xml:space="preserve">FITTING 1/4T X 1/8 FEMALE NPT </t>
  </si>
  <si>
    <t xml:space="preserve">C65803250      </t>
  </si>
  <si>
    <t xml:space="preserve">WELDMENT, SANITARY TUBING     </t>
  </si>
  <si>
    <t xml:space="preserve">C65803249      </t>
  </si>
  <si>
    <t xml:space="preserve">FRAME, WELDMENT, FEED PUMP    </t>
  </si>
  <si>
    <t xml:space="preserve">C65803251      </t>
  </si>
  <si>
    <t xml:space="preserve">BRACKET, SUPPORT              </t>
  </si>
  <si>
    <t xml:space="preserve">C65901784      </t>
  </si>
  <si>
    <t xml:space="preserve">SUPPORT, FEED PUMP            </t>
  </si>
  <si>
    <t xml:space="preserve">C100380        </t>
  </si>
  <si>
    <t xml:space="preserve">O-RING 11.475 ID X .210       </t>
  </si>
  <si>
    <t xml:space="preserve">C0793P18-ME    </t>
  </si>
  <si>
    <t xml:space="preserve">C0793P18-SE    </t>
  </si>
  <si>
    <t xml:space="preserve">C65300234      </t>
  </si>
  <si>
    <t xml:space="preserve">HHCS 5/16-24UNF-2A X 3/4 316L </t>
  </si>
  <si>
    <t xml:space="preserve">C0793P18-EE    </t>
  </si>
  <si>
    <t xml:space="preserve">C100391        </t>
  </si>
  <si>
    <t xml:space="preserve">O-RING, 21.955 ID X .210      </t>
  </si>
  <si>
    <t>select mm.OSTAT, mm.ORDNO as MOORDNO, mm.FITEM, mm.FDESC, mm.FSKLC, mm.SSTDT, mm.ODUDT, mm.ORQTY, mm.JOBNO, mm.QTYRC, mm.QTDEV as MOQTDEV, mm.QTSCP, mm.QTSPL, mm.REFNO, mm.FITWH as MOWH, md.ORDNO, md.CITEM, md.CDESC, md.QTREQ, md.ISQTY, md.LISDT, md.SEQNM, md.CITWH as CompWH, ib.MALQT, ib.PLREQ, ib.ITNBR, ib.HOUSE, ib.MOHTQ, ib.MPRPQ, ib.MPUPQ, ib.LTCOD, ib.PLANIB, sq.LLOCN, sq.LQNTY, sq.LBHNO, sq.ITNBR, sq.HOUSE as LocHouse, pi.ORDNO as POORDNO, pi.QTYOR, pi.QTDEV as POQTDEV, pi.DUEDT, pi.MDATE, pi.BUYNO, pi.STAIC, pi.ITNBR as POITNBR, pi.STKQT as POSTKQT, pi.LINSQ, pi.POISQ, pi.BLCOD, pi.JOBNO as PIJOBNO, pb.ORDNO as pbORDNO, pb.ITNBR, pb.LINSQ, pb.POISQ, pb.STAIC as pbSTAIC, pb.STKQT as pbSTKQT, pb.RELQT as pbRELQT, pb.RELDT as pbRELDT, pb.BLKSQ as pbBLKSQ, pm.ORDNO as pmORDNO, pm.PSTTS as pmPSTTS,pm.HOUSE as pmWH, mc.ORDNO as MCORDNO, mc.ORQTY as MCORQTY, mc.ODUDT as MCODUDT, mc.MDATE as MCMDATE, mc.DPTNO as MCDPTNO, mc.OSTAT as MCOSTAT, mc.OPSNS as MCOPSNS, mc.WCCUR as MCWCCUR,  mc.FSKLC as MCFSKLC, mc.FITEM as MCFITEM, mc.QTYRC as MCQTYRC, mc.QTDEV as MCQTDEV, mc.QTSCP as MCQTSCP, mc.QTSPL as MCQTSPL, mc.JOBNO as MCJOBNO, mc.FITWH as mcHDRWH,  imf.ITNBR, imf.ITTYP, imc.ITNBR, imc.UCDEF, vn.VNAMA, vn.VNDNR, vnib.VNAMA as vnibVNAMA, rq.ITNBR, rq.REQNO, rq.QTYOR as RQQTYOR, rq.DUEDT as RQDUEDT, rq.MDATE as RQMDATE, rq.DPTNO as RQDPTNO, rq.NAMER, rq.ORDNO as RQORDNO from amflibW.MOMAST mm inner join amflibW.MODATA md on mm.ORDNO = md.ORDNO inner join amflibW.ITEMBL ib on md.CITEM = ib.ITNBR and md.CITWH=ib.HOUSE left outer join amflibW.SLQNTY sq on md.CITEM = sq.ITNBR and md.CITWH=sq.HOUSE left outer join amflibW.MOMAST mc on md.CITEM = mc.FITEM and mc.ORQTY + mc.QTDEV - mc.QTSPL - mc.QTSCP - mc.QTYRC &gt; 0 and mc.OSTAT &lt; '45' and md.ORDNO&lt;&gt;mc.ORDNO and md.CITWH=mc.FITWH left outer join amflibW.POITEM pi on (md.CITEM = pi.ITNBR or mc.ORDNO = pi.JOBNO or mm.ORDNO = pi.JOBNO) and pi.STKQT &lt; pi.QTYOR + pi.QTDEV and pi.STAIC &lt; '50' and md.CITWH=pi.HOUSE left outer join amflibW.POMAST pm on pi.ORDNO = pm.ORDNO left outer join amflibW.POBLKT pb on pi.ITNBR=pb.ITNBR and pi.ORDNO=pb.ORDNO and pi.LINSQ=pb.LINSQ and pi.POISQ=pb.POISQ and pb.STKQT &lt; pb.RELQT and pb.STAIC &lt; '50' left outer join amflibW.ITMRVA imf on mm.FITEM = imf.ITNBR left outer join amflibW.ITMRVA imc on md.CITEM = imc.ITNBR left outer join amflibW.VENNAM vn on pi.VNDNR = vn.VNDNR left outer join amflibW.VENNAM vnib on ib.VNDNR = vnib.VNDNR left outer join amflibW.REQHDF rq on md.CITEM = rq.ITNBR and rq.ORDNO = '' where (mm.OSTAT = '10' or mm.OSTAT = '40') and (mm.JOBNO like '%449022%' or md.CITEM = '449022' or mm.JOBNO like '%431774%' or md.CITEM = '431774' or mm.JOBNO like '%431772%' or md.CITEM = '431772' or mm.JOBNO like '%431775%' or md.CITEM = '431775' or mm.JOBNO like '%455878%' or md.CITEM = '455878' or mm.JOBNO like '%456103%' or md.CITEM = '456103') AND (imf.ITTYP = '0' or imf.ITTYP = '1' or imf.ITTYP = '2' or imf.ITTYP = '9') order by mm.JOBNO, mm.SSTDT, mm.ORDNO, mm.FITEM</t>
  </si>
  <si>
    <t>P558190</t>
  </si>
  <si>
    <t>P557600/P558190</t>
  </si>
  <si>
    <t>M421680</t>
  </si>
  <si>
    <t>C100333</t>
  </si>
  <si>
    <t>O-RING, 2.475 ID X .210 EPDM</t>
  </si>
  <si>
    <t>P564584</t>
  </si>
  <si>
    <t>C244014</t>
  </si>
  <si>
    <t>FSHCS 5/16-18 X 1 SST</t>
  </si>
  <si>
    <t>/P564920/P565435</t>
  </si>
  <si>
    <t>C63802175</t>
  </si>
  <si>
    <t>MOUNTING ANGLE</t>
  </si>
  <si>
    <t>P565431</t>
  </si>
  <si>
    <t>M258340</t>
  </si>
  <si>
    <t>C63390254</t>
  </si>
  <si>
    <t>BOWL CASE ASSY</t>
  </si>
  <si>
    <t>C61800782</t>
  </si>
  <si>
    <t>HHCS 24-1002 ASEPTIC O-RING</t>
  </si>
  <si>
    <t>P565439</t>
  </si>
  <si>
    <t>C200085</t>
  </si>
  <si>
    <t>SEAL ROTARY</t>
  </si>
  <si>
    <t>P564580</t>
  </si>
  <si>
    <t>P564661</t>
  </si>
  <si>
    <t>M283680</t>
  </si>
  <si>
    <t>C63791156-P</t>
  </si>
  <si>
    <t>SYSTEM INTEGRATION C0834P12</t>
  </si>
  <si>
    <t>C320823</t>
  </si>
  <si>
    <t>SWITCH FLOW SPDT 24VDC</t>
  </si>
  <si>
    <t>P565347</t>
  </si>
  <si>
    <t>C321090</t>
  </si>
  <si>
    <t>M12 ADAPTER FOR AS-I CABLE</t>
  </si>
  <si>
    <t>1KKK</t>
  </si>
  <si>
    <t>C321091</t>
  </si>
  <si>
    <t>CABLE ASI 2C YEL 100M ROLL</t>
  </si>
  <si>
    <t>C321236</t>
  </si>
  <si>
    <t>MOTOR 1/2HP IEC71 230/460V 3PH</t>
  </si>
  <si>
    <t>P565378</t>
  </si>
  <si>
    <t>C321237</t>
  </si>
  <si>
    <t>0.75 HP (0.56 KW) MOTOR</t>
  </si>
  <si>
    <t>C331214</t>
  </si>
  <si>
    <t>SENSOR PRESSURE -1-10 BAR SST</t>
  </si>
  <si>
    <t>P565381</t>
  </si>
  <si>
    <t>C340829</t>
  </si>
  <si>
    <t>RTD 3-WIRE PT100 1.125" PROBE</t>
  </si>
  <si>
    <t>P565380</t>
  </si>
  <si>
    <t>C342036</t>
  </si>
  <si>
    <t>CORDSET 5P FEMALE M12-QD 8M</t>
  </si>
  <si>
    <t>P565377</t>
  </si>
  <si>
    <t>C342037</t>
  </si>
  <si>
    <t>C342062</t>
  </si>
  <si>
    <t>CONNECTOR 5P MALE M12-QD</t>
  </si>
  <si>
    <t>P565362</t>
  </si>
  <si>
    <t>C342610</t>
  </si>
  <si>
    <t>ASi CABLE 0DEG, (M)TO(F), SS,</t>
  </si>
  <si>
    <t>C342612</t>
  </si>
  <si>
    <t>ASi CABLE 0DEG,(M)TO(F),SS,3M</t>
  </si>
  <si>
    <t>C342620</t>
  </si>
  <si>
    <t>SENSOR LEVEL / TEMP 29" SST</t>
  </si>
  <si>
    <t>C343206</t>
  </si>
  <si>
    <t>SENSOR MASS FLOW</t>
  </si>
  <si>
    <t>C343238</t>
  </si>
  <si>
    <t>RJ45 CONNECTOR 8 PIN</t>
  </si>
  <si>
    <t>C343239</t>
  </si>
  <si>
    <t>ASI CABLE 0DEG (M)TO(F) SS 1M</t>
  </si>
  <si>
    <t>C343246</t>
  </si>
  <si>
    <t>MOTOR 3/4HP SS 200/400V 3PH</t>
  </si>
  <si>
    <t>C420726</t>
  </si>
  <si>
    <t>BLANKING PLUG 1/4" TYPE 34</t>
  </si>
  <si>
    <t>C423110</t>
  </si>
  <si>
    <t>PNEUMATIC PUSH-IN CONNECTOR</t>
  </si>
  <si>
    <t>C423111</t>
  </si>
  <si>
    <t>C423112</t>
  </si>
  <si>
    <t>C63700049</t>
  </si>
  <si>
    <t>ADAPTER, VIBRATION SENSOR</t>
  </si>
  <si>
    <t>C63700330</t>
  </si>
  <si>
    <t>VIBRATION TRANSMITTER MOUNT</t>
  </si>
  <si>
    <t>C63803440</t>
  </si>
  <si>
    <t>SPACER, 1/2" X 2.5" LONG</t>
  </si>
  <si>
    <t>C63803441</t>
  </si>
  <si>
    <t>MOUNTING PLATE, ELECTRICAL BOX</t>
  </si>
  <si>
    <t>P564696</t>
  </si>
  <si>
    <t>C481874</t>
  </si>
  <si>
    <t>HOSE ASSY,SIL,1"STRx90,21"L</t>
  </si>
  <si>
    <t>C481875</t>
  </si>
  <si>
    <t>HOSE ASSY,SIL,1"STRx90,28.26"L</t>
  </si>
  <si>
    <t>C481876</t>
  </si>
  <si>
    <t>HOSE ASSY,SIL,STRx90,22.13"OAL</t>
  </si>
  <si>
    <t>C481877</t>
  </si>
  <si>
    <t>HOSE ASSY,SIL,.5"STRx90,31.13"</t>
  </si>
  <si>
    <t>C481878</t>
  </si>
  <si>
    <t>HOSE ASSY,SIL,.5"STRx90,23"L</t>
  </si>
  <si>
    <t>C481879</t>
  </si>
  <si>
    <t>HOSE,SIL,.75",STRx45x28.78"L</t>
  </si>
  <si>
    <t>C481880</t>
  </si>
  <si>
    <t>HOSE ASSY,SIL,.5"90x45,25.5" L</t>
  </si>
  <si>
    <t>C481881</t>
  </si>
  <si>
    <t>HOSE ASSY,SIL,.75,STRxSTR,20.8</t>
  </si>
  <si>
    <t>C481882</t>
  </si>
  <si>
    <t>HOSE ASSY,TEF,.25"SAN, 30.2"L</t>
  </si>
  <si>
    <t>C481883</t>
  </si>
  <si>
    <t>HOSE ASSY,TEF,.25"STR x MALE</t>
  </si>
  <si>
    <t>C481884</t>
  </si>
  <si>
    <t>HOSE ASSY,TEF,.25" SANxJIC FEM</t>
  </si>
  <si>
    <t>C481885</t>
  </si>
  <si>
    <t>HOSE ASSY,TEF,.25"STR X MALE</t>
  </si>
  <si>
    <t>C481886</t>
  </si>
  <si>
    <t>HOSE ASSY, SIL, .5"STRx90, 24"</t>
  </si>
  <si>
    <t>C481887</t>
  </si>
  <si>
    <t>HOSE ASSY,SIL,.5" STR, 76" L</t>
  </si>
  <si>
    <t>C481888</t>
  </si>
  <si>
    <t>HOSE ASSY,SIL,.75"STRx90,31.5"</t>
  </si>
  <si>
    <t>C481889</t>
  </si>
  <si>
    <t>HOSE ASSY,SIL,1" STR, 29" L</t>
  </si>
  <si>
    <t>C481890</t>
  </si>
  <si>
    <t>HOSE ASSY, SIL, 1.5 STR, 20.5"</t>
  </si>
  <si>
    <t>C481891</t>
  </si>
  <si>
    <t>HOSE ASSY,SIL,1"STRx90,33.5"L</t>
  </si>
  <si>
    <t>C481892</t>
  </si>
  <si>
    <t>HOSE ASSY,SIL,.75"SAN,25.24"L</t>
  </si>
  <si>
    <t>C481893</t>
  </si>
  <si>
    <t>HOSE ASSY,SIL,.75"STRx90,35.5"</t>
  </si>
  <si>
    <t>C481894</t>
  </si>
  <si>
    <t>HOSE ASSY,SIL,.5"STRx90,23.75"</t>
  </si>
  <si>
    <t>C481895</t>
  </si>
  <si>
    <t>HOSE ASSY,SIL,.75",STRxSTR,22"</t>
  </si>
  <si>
    <t>C481896</t>
  </si>
  <si>
    <t>HOSE ASSY,SIL,.5",SANx90,59.37</t>
  </si>
  <si>
    <t>C481897</t>
  </si>
  <si>
    <t>HOSE ASSY,SIL,.5",SANx90,31.77</t>
  </si>
  <si>
    <t>C481898</t>
  </si>
  <si>
    <t>HOSE ASSY,SIL,.5",SANx90,65.5"</t>
  </si>
  <si>
    <t>C481899</t>
  </si>
  <si>
    <t>HOSE ASSY,SIL,.5"SANx90,33.5"L</t>
  </si>
  <si>
    <t>C481900</t>
  </si>
  <si>
    <t>HOSE ASSY,SIL,.75"90x90,51.25"</t>
  </si>
  <si>
    <t>C481901</t>
  </si>
  <si>
    <t>HOSE ASSY,SIL,.5" ID, 55.5" L</t>
  </si>
  <si>
    <t>C481902</t>
  </si>
  <si>
    <t>HOSE ASSY,SIL,1",STRx45x31.88"</t>
  </si>
  <si>
    <t>C481903</t>
  </si>
  <si>
    <t>HOSE ASSY,SIL,.5"STRx45,40.87"</t>
  </si>
  <si>
    <t>C481904</t>
  </si>
  <si>
    <t>HOSE ASSY,SIL,.5",45x45,47.5"L</t>
  </si>
  <si>
    <t>C481905</t>
  </si>
  <si>
    <t>HOSE ASSY,SIL,1",STRx45x27.63"</t>
  </si>
  <si>
    <t>C481906</t>
  </si>
  <si>
    <t>HOSE ASSY,SIL,STR,27.5"OAL</t>
  </si>
  <si>
    <t>C481907</t>
  </si>
  <si>
    <t>HOSE ASSY,SIL,1",SANx90,25.3"L</t>
  </si>
  <si>
    <t>C481908</t>
  </si>
  <si>
    <t>HOSE ASSY,SIL,.75" ID, 27.75"L</t>
  </si>
  <si>
    <t>C481909</t>
  </si>
  <si>
    <t>HOSE ASSY,SIL,.5"STRx45,28.15"</t>
  </si>
  <si>
    <t>C481910</t>
  </si>
  <si>
    <t>HOSE ASSY,SIL,1.5"STRx45,27.63</t>
  </si>
  <si>
    <t>C481911</t>
  </si>
  <si>
    <t>HOSE ASSY,SIL,1.5",45x45x23.63</t>
  </si>
  <si>
    <t>C481912</t>
  </si>
  <si>
    <t>HOSE ASSY,TEF,.375 SAN, 44.7"L</t>
  </si>
  <si>
    <t>C481913</t>
  </si>
  <si>
    <t>HOSE ASSY,TEF,.375" SAN,20.3"L</t>
  </si>
  <si>
    <t>C481914</t>
  </si>
  <si>
    <t>HOSE ASSY,TEF,.25"SAN,12.5"L</t>
  </si>
  <si>
    <t>C481915</t>
  </si>
  <si>
    <t>HOSE ASSY,SIL,.5"STRx90,18"L</t>
  </si>
  <si>
    <t>C481916</t>
  </si>
  <si>
    <t>HOSE ASSY,SIL,.5"STRx45,40.25"</t>
  </si>
  <si>
    <t>C481917</t>
  </si>
  <si>
    <t>HOSE ASSY,SIL,.75", 12.66" OAL</t>
  </si>
  <si>
    <t>C481918</t>
  </si>
  <si>
    <t>HOSE ASSY,SIL,.75",15.68"OAL</t>
  </si>
  <si>
    <t>C481919</t>
  </si>
  <si>
    <t>HOSE ASSY,SIL,1.5"SANx45,26"L</t>
  </si>
  <si>
    <t>C481920</t>
  </si>
  <si>
    <t>HOSE ASSY,SIL,.5" SAN, 12" OAL</t>
  </si>
  <si>
    <t>C481921</t>
  </si>
  <si>
    <t>HOSE ASSY,SIL,1.5",45x45x29"L</t>
  </si>
  <si>
    <t>C481922</t>
  </si>
  <si>
    <t>HOSE ASSY,SIL,1.5",STRx90,18.5</t>
  </si>
  <si>
    <t>C481923</t>
  </si>
  <si>
    <t>HOSE ASSY,SIL,1.5"SAN, 21" OAL</t>
  </si>
  <si>
    <t>C481924</t>
  </si>
  <si>
    <t>HOSE ASSY,SIL,1.5",STRx90x81"L</t>
  </si>
  <si>
    <t>C481925</t>
  </si>
  <si>
    <t>HOSE ASSY,SIL,1.5",STRx45x76.5</t>
  </si>
  <si>
    <t>C481926</t>
  </si>
  <si>
    <t>HOSE ASSY,SIL,.5",90x90,24.13"</t>
  </si>
  <si>
    <t>C481927</t>
  </si>
  <si>
    <t>HOSE ASSY,SIL,.5"90x90,24"L</t>
  </si>
  <si>
    <t>C63803344</t>
  </si>
  <si>
    <t>WELDMENT SANITARY TUBING</t>
  </si>
  <si>
    <t>P566055</t>
  </si>
  <si>
    <t>M428040</t>
  </si>
  <si>
    <t>C63891015</t>
  </si>
  <si>
    <t>KIT, LEG AND BOX MOUNT</t>
  </si>
  <si>
    <t>C63803407</t>
  </si>
  <si>
    <t>LEG, P12 17.5"</t>
  </si>
  <si>
    <t>P565136</t>
  </si>
  <si>
    <t>C63803408</t>
  </si>
  <si>
    <t>LEG, P12 10.0"</t>
  </si>
  <si>
    <t>C63803435</t>
  </si>
  <si>
    <t>STAND, VALVE LOWER</t>
  </si>
  <si>
    <t>C63803438</t>
  </si>
  <si>
    <t>MOUNT, 2 BOXES</t>
  </si>
  <si>
    <t>C63803442</t>
  </si>
  <si>
    <t>MOUNT, CENTRATE BOXES</t>
  </si>
  <si>
    <t>C63803443</t>
  </si>
  <si>
    <t>MOUNT, CENTRATE JUNCTION</t>
  </si>
  <si>
    <t>M430740</t>
  </si>
  <si>
    <t>C63701068</t>
  </si>
  <si>
    <t>MOTOR 15HP SST 254TC 3600RPM</t>
  </si>
  <si>
    <t>C63701068-SEND</t>
  </si>
  <si>
    <t>SEND TO TAMPA ARMATURE WORKS</t>
  </si>
  <si>
    <t>M437330</t>
  </si>
  <si>
    <t>C63891013</t>
  </si>
  <si>
    <t>FEED PUMP DRIVE ASSY, /LD UNI</t>
  </si>
  <si>
    <t>C246712</t>
  </si>
  <si>
    <t>SHCS, M5X0.8 X 50, 18-8 SST</t>
  </si>
  <si>
    <t>C380209</t>
  </si>
  <si>
    <t>10:1 PLANETARY GEARHEAD</t>
  </si>
  <si>
    <t>C63803419</t>
  </si>
  <si>
    <t>SEAL HOUSING - W-M 620R</t>
  </si>
  <si>
    <t>C63803420</t>
  </si>
  <si>
    <t>SHAFT EXTENSION, 620R, UNI</t>
  </si>
  <si>
    <t>C63803421</t>
  </si>
  <si>
    <t>GEARBOX COVER</t>
  </si>
  <si>
    <t>C63803422</t>
  </si>
  <si>
    <t>MOUNT, GEARBOX</t>
  </si>
  <si>
    <t>C63500649//PRESS BDRY CAT 3 PED P12 INSL.//2021 Dec 22;;C340829//RTD 3-WIRE PT100 1.125" PROBE//2021 Jul 26;;C63803344//WELDMENT SANITARY TUBING//2021 Jul 22;;C342610//ASi CABLE 0DEG, (M)TO(F), SS,//2021 Jul 15;;C342612//ASi CABLE 0DEG,(M)TO(F),SS,3M//2021 Jul 15;;C63801564//BRACKET, PIPE SUPPORT//2021 Jul 08;;C63801839//BRACKET, PIPE SUPPORT//2021 Jul 08;;C63801850//BRACKET, PIPE SUPPORT//2021 Jul 08;;C63802058//BRACKET, PIPE SUPPORT//2021 Jul 08;;C63802121//BRACKET WELDMENT//2021 Jul 08;;C63802154//SUPPORT BRACKET WELDMENT//2021 Jul 08;;C63802323//BRACKET SUPPORT WELDMENT//2021 Jul 08;;C63803405//BRACKET, PIPE SUPPORT//2021 Jul 08;;C63803406//BRACKET, PIPE SUPPORT//2021 Jul 08;;C63803417//WELDMENT, SUPPORT BRACKE//2021 Jul 08;;C63803424//WELDMENT, BRACKET//2021 Jul 08;;C63803427//WELDMENT, SUPPORT BRACKET//2021 Jul 08;;C63803430//WELDMENT, FRAME SUPPORT//2021 Jul 08;;C63803431//WELDMENT, SUPPORT BRACKET//2021 Jul 08;;</t>
  </si>
  <si>
    <t>C500315//CARTRIDGE, FILTER//2021 Jun 28;;C481869//HOSE ASSY,SIL,1",90x90,51.01"L//2021 Jun 23;;C481871//HOSE ASSY,SIL,1",90x90,40.68"L//2021 Jun 23;;C481872//HOSE ASSY SIL,1", STRx45x37.4"//2021 Jun 23;;C500889//AB 5" EMFLON PFR FILTER 0.2MM//2021 Jun 11;;C200023//INFLATABLE SEAL 15" C.L. DIA.//2021 Jun 10;;C481928//LOADSURE ELEMENT, 800 SERIES//2021 May 07;;</t>
  </si>
  <si>
    <t>C280092//SHOCK MOUNTS//2021 Jul 30;;C500231//SHIPPING SKID, CENTRIFUGE//2021 Jun 30;;C500232//SHIPPING CRATE,P18 BRG &amp; XFER//2021 Jun 30;;C500234//SHIPPING CRATE, P18 DRIVE PNL//2021 Jun 30;;C500235//SHIPPING CRATE, P18 CTRL PNL//2021 Jun 30;;C500315//CARTRIDGE, FILTER//2021 Jun 28;;C481869//HOSE ASSY,SIL,1",90x90,51.01"L//2021 Jun 23;;C481871//HOSE ASSY,SIL,1",90x90,40.68"L//2021 Jun 23;;C481872//HOSE ASSY SIL,1", STRx45x37.4"//2021 Jun 23;;C500889//AB 5" EMFLON PFR FILTER 0.2MM//2021 Jun 11;;C200023//INFLATABLE SEAL 15" C.L. DIA.//2021 Jun 10;;C200077//SEAL, DOUBLE MECH GAS P18//2021 Jun 04;;C341342//SENSOR RUP DISK ALERT 1-1/2"//2021 Jun 04;;C481928//LOADSURE ELEMENT, 800 SERIES//2021 May 07;;C500233//SHIPPING CRATE, P18 BOWL&amp;CONE//2021 Mar 15;;C65200153-SEND//SEND TO F.H. PETERSON//2021 Feb 26;;C241015//HHCS,5/16-18X1 1/4,316//1899 Dec 31;;</t>
  </si>
  <si>
    <t>C500315//CARTRIDGE, FILTER//2021 Jun 28;;C481869//HOSE ASSY,SIL,1",90x90,51.01"L//2021 Jun 23;;C481871//HOSE ASSY,SIL,1",90x90,40.68"L//2021 Jun 23;;C481872//HOSE ASSY SIL,1", STRx45x37.4"//2021 Jun 23;;C500889//AB 5" EMFLON PFR FILTER 0.2MM//2021 Jun 11;;C200023//INFLATABLE SEAL 15" C.L. DIA.//2021 Jun 10;;C200023//INFLATABLE SEAL 15" C.L. DIA.//2021 Jun 10;;C100333//O-RING, 2.475 ID X .210 EPDM//2021 Jun 04;;C481928//LOADSURE ELEMENT, 800 SERIES//2021 May 07;;</t>
  </si>
  <si>
    <t>Updated: 2021 Jun 02, 09:11:05</t>
  </si>
  <si>
    <t>Updated: 2021 Jun 02, 09:11:19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</si>
</sst>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quot;$&quot;#,##0"/>
    <numFmt numFmtId="165" formatCode="yyyy\ mmm\ dd"/>
    <numFmt numFmtId="166" formatCode="0000"/>
  </numFmts>
  <fonts count="15" x14ac:knownFonts="1">
    <font>
      <sz val="11"/>
      <color theme="1"/>
      <name val="Calibri"/>
      <family val="2"/>
      <scheme val="minor"/>
    </font>
    <font>
      <sz val="16"/>
      <color theme="1"/>
      <name val="Calibri"/>
      <family val="2"/>
      <scheme val="minor"/>
    </font>
    <font>
      <b/>
      <sz val="16"/>
      <color theme="1"/>
      <name val="Calibri"/>
      <family val="2"/>
      <scheme val="minor"/>
    </font>
    <font>
      <sz val="8"/>
      <name val="Calibri"/>
      <family val="2"/>
      <scheme val="minor"/>
    </font>
    <font>
      <sz val="14"/>
      <color theme="1"/>
      <name val="Calibri"/>
      <family val="2"/>
      <scheme val="minor"/>
    </font>
    <font>
      <sz val="14"/>
      <color rgb="FF000000"/>
      <name val="Calibri"/>
      <family val="2"/>
    </font>
    <font>
      <sz val="11"/>
      <name val="Calibri"/>
      <family val="2"/>
      <scheme val="minor"/>
    </font>
    <font>
      <b/>
      <sz val="14"/>
      <color theme="1"/>
      <name val="Calibri"/>
      <family val="2"/>
      <scheme val="minor"/>
    </font>
    <font>
      <b/>
      <i/>
      <sz val="11"/>
      <color theme="1"/>
      <name val="Calibri"/>
      <family val="2"/>
      <scheme val="minor"/>
    </font>
    <font>
      <b/>
      <sz val="14"/>
      <color theme="0"/>
      <name val="Calibri"/>
      <family val="2"/>
      <scheme val="minor"/>
    </font>
    <font>
      <b/>
      <sz val="16"/>
      <color theme="0"/>
      <name val="Calibri"/>
      <family val="2"/>
      <scheme val="minor"/>
    </font>
    <font>
      <b/>
      <i/>
      <u/>
      <sz val="14"/>
      <color theme="0"/>
      <name val="Calibri"/>
      <family val="2"/>
      <scheme val="minor"/>
    </font>
    <font>
      <b/>
      <sz val="11"/>
      <color theme="1"/>
      <name val="Calibri"/>
      <family val="2"/>
      <scheme val="minor"/>
    </font>
    <font>
      <b/>
      <sz val="11"/>
      <color indexed="9"/>
      <name val="Calibri"/>
      <family val="2"/>
      <scheme val="minor"/>
    </font>
    <font>
      <b/>
      <i/>
      <sz val="11"/>
      <color indexed="9"/>
      <name val="Calibri"/>
      <family val="2"/>
      <scheme val="minor"/>
    </font>
  </fonts>
  <fills count="17">
    <fill>
      <patternFill patternType="none"/>
    </fill>
    <fill>
      <patternFill patternType="gray125"/>
    </fill>
    <fill>
      <patternFill patternType="solid">
        <fgColor theme="9" tint="0.79998168889431442"/>
        <bgColor indexed="64"/>
      </patternFill>
    </fill>
    <fill>
      <patternFill patternType="solid">
        <fgColor rgb="FF00B0F0"/>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9" tint="0.39997558519241921"/>
        <bgColor indexed="64"/>
      </patternFill>
    </fill>
    <fill>
      <patternFill patternType="solid">
        <fgColor theme="8" tint="-0.249977111117893"/>
        <bgColor indexed="64"/>
      </patternFill>
    </fill>
    <fill>
      <patternFill patternType="solid">
        <fgColor theme="5" tint="0.39997558519241921"/>
        <bgColor indexed="64"/>
      </patternFill>
    </fill>
    <fill>
      <patternFill patternType="solid">
        <fgColor theme="7" tint="-0.249977111117893"/>
        <bgColor indexed="64"/>
      </patternFill>
    </fill>
    <fill>
      <patternFill patternType="solid">
        <fgColor rgb="FF2F75B5"/>
        <bgColor indexed="64"/>
      </patternFill>
    </fill>
    <fill>
      <patternFill patternType="solid">
        <fgColor rgb="FFA9D08E"/>
        <bgColor indexed="64"/>
      </patternFill>
    </fill>
    <fill>
      <patternFill patternType="solid">
        <fgColor rgb="FFF4B084"/>
        <bgColor indexed="64"/>
      </patternFill>
    </fill>
    <fill>
      <patternFill patternType="solid">
        <fgColor rgb="FFFFFF00"/>
        <bgColor indexed="64"/>
      </patternFill>
    </fill>
    <fill>
      <patternFill patternType="solid">
        <fgColor rgb="FFFF0000"/>
        <bgColor indexed="64"/>
      </patternFill>
    </fill>
    <fill>
      <patternFill patternType="solid">
        <fgColor rgb="FFBF8F00"/>
        <bgColor indexed="64"/>
      </patternFill>
    </fill>
    <fill>
      <patternFill patternType="solid">
        <fgColor rgb="FF00000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ck">
        <color indexed="64"/>
      </left>
      <right style="thin">
        <color indexed="64"/>
      </right>
      <top style="thin">
        <color indexed="64"/>
      </top>
      <bottom style="thin">
        <color indexed="64"/>
      </bottom>
      <diagonal/>
    </border>
    <border>
      <left style="thick">
        <color indexed="64"/>
      </left>
      <right/>
      <top/>
      <bottom/>
      <diagonal/>
    </border>
    <border>
      <left style="thin">
        <color rgb="FF000000"/>
      </left>
      <right style="thin">
        <color rgb="FF000000"/>
      </right>
      <top style="thin">
        <color rgb="FF000000"/>
      </top>
      <bottom style="thin">
        <color rgb="FF000000"/>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s>
  <cellStyleXfs count="1">
    <xf numFmtId="0" fontId="0" fillId="0" borderId="0"/>
  </cellStyleXfs>
  <cellXfs count="123">
    <xf numFmtId="0" fontId="0" fillId="0" borderId="0" xfId="0"/>
    <xf numFmtId="0" fontId="0" fillId="0" borderId="0" xfId="0" applyNumberFormat="1"/>
    <xf numFmtId="164" fontId="0" fillId="0" borderId="0" xfId="0" applyNumberFormat="1" applyAlignment="1">
      <alignment horizontal="center"/>
    </xf>
    <xf numFmtId="0" fontId="1" fillId="2" borderId="1" xfId="0" applyFont="1" applyFill="1" applyBorder="1" applyAlignment="1">
      <alignment horizontal="center"/>
    </xf>
    <xf numFmtId="0" fontId="2" fillId="0" borderId="1" xfId="0" applyFont="1" applyFill="1" applyBorder="1"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NumberFormat="1" applyAlignment="1">
      <alignment horizontal="center"/>
    </xf>
    <xf numFmtId="0" fontId="0" fillId="0" borderId="0" xfId="0" applyFill="1" applyAlignment="1">
      <alignment horizontal="center"/>
    </xf>
    <xf numFmtId="165" fontId="0" fillId="0" borderId="0" xfId="0" applyNumberFormat="1"/>
    <xf numFmtId="0" fontId="6" fillId="0" borderId="0" xfId="0" applyFont="1" applyAlignment="1">
      <alignment horizontal="left"/>
    </xf>
    <xf numFmtId="0" fontId="8" fillId="0" borderId="0" xfId="0" applyFont="1"/>
    <xf numFmtId="0" fontId="7" fillId="0" borderId="0" xfId="0" applyFont="1"/>
    <xf numFmtId="0" fontId="9" fillId="0" borderId="0" xfId="0" applyFont="1"/>
    <xf numFmtId="0" fontId="2" fillId="0" borderId="0" xfId="0" applyFont="1" applyAlignment="1">
      <alignment horizontal="center"/>
    </xf>
    <xf numFmtId="0" fontId="10" fillId="3" borderId="4" xfId="0" applyFont="1" applyFill="1" applyBorder="1" applyAlignment="1">
      <alignment horizontal="center"/>
    </xf>
    <xf numFmtId="164" fontId="10" fillId="3" borderId="5" xfId="0" applyNumberFormat="1" applyFont="1" applyFill="1" applyBorder="1" applyAlignment="1">
      <alignment horizontal="center" shrinkToFit="1"/>
    </xf>
    <xf numFmtId="3" fontId="10" fillId="3" borderId="5" xfId="0" applyNumberFormat="1" applyFont="1" applyFill="1" applyBorder="1" applyAlignment="1">
      <alignment horizontal="center"/>
    </xf>
    <xf numFmtId="3" fontId="10" fillId="3" borderId="4" xfId="0" applyNumberFormat="1" applyFont="1" applyFill="1" applyBorder="1" applyAlignment="1">
      <alignment horizontal="center"/>
    </xf>
    <xf numFmtId="3" fontId="10" fillId="3" borderId="6" xfId="0" applyNumberFormat="1" applyFont="1" applyFill="1" applyBorder="1" applyAlignment="1">
      <alignment horizontal="center"/>
    </xf>
    <xf numFmtId="3" fontId="1" fillId="4" borderId="2" xfId="0" applyNumberFormat="1" applyFont="1" applyFill="1" applyBorder="1" applyAlignment="1">
      <alignment horizontal="center"/>
    </xf>
    <xf numFmtId="3" fontId="1" fillId="4" borderId="0" xfId="0" applyNumberFormat="1" applyFont="1" applyFill="1" applyAlignment="1">
      <alignment horizontal="center"/>
    </xf>
    <xf numFmtId="3" fontId="1" fillId="4" borderId="3" xfId="0" applyNumberFormat="1" applyFont="1" applyFill="1" applyBorder="1" applyAlignment="1">
      <alignment horizontal="center"/>
    </xf>
    <xf numFmtId="3" fontId="1" fillId="5" borderId="0" xfId="0" applyNumberFormat="1" applyFont="1" applyFill="1" applyAlignment="1">
      <alignment horizontal="center"/>
    </xf>
    <xf numFmtId="3" fontId="1" fillId="5" borderId="2" xfId="0" applyNumberFormat="1" applyFont="1" applyFill="1" applyBorder="1" applyAlignment="1">
      <alignment horizontal="center"/>
    </xf>
    <xf numFmtId="164" fontId="1" fillId="2" borderId="0" xfId="0" applyNumberFormat="1" applyFont="1" applyFill="1" applyAlignment="1">
      <alignment horizontal="center" shrinkToFit="1"/>
    </xf>
    <xf numFmtId="0" fontId="0" fillId="0" borderId="1" xfId="0" applyBorder="1"/>
    <xf numFmtId="166" fontId="0" fillId="0" borderId="1" xfId="0" applyNumberFormat="1" applyBorder="1" applyAlignment="1">
      <alignment horizontal="center"/>
    </xf>
    <xf numFmtId="0" fontId="0" fillId="0" borderId="4" xfId="0" applyBorder="1"/>
    <xf numFmtId="166" fontId="0" fillId="0" borderId="7" xfId="0" applyNumberFormat="1" applyBorder="1" applyAlignment="1">
      <alignment horizontal="center"/>
    </xf>
    <xf numFmtId="166" fontId="0" fillId="6" borderId="0" xfId="0" applyNumberFormat="1" applyFill="1" applyAlignment="1">
      <alignment horizontal="center"/>
    </xf>
    <xf numFmtId="0" fontId="0" fillId="6" borderId="0" xfId="0" applyFill="1"/>
    <xf numFmtId="166" fontId="0" fillId="6" borderId="8" xfId="0" applyNumberFormat="1" applyFill="1" applyBorder="1" applyAlignment="1">
      <alignment horizontal="center"/>
    </xf>
    <xf numFmtId="166" fontId="0" fillId="6" borderId="2" xfId="0" applyNumberFormat="1" applyFill="1" applyBorder="1" applyAlignment="1">
      <alignment horizontal="center"/>
    </xf>
    <xf numFmtId="166" fontId="0" fillId="7" borderId="0" xfId="0" applyNumberFormat="1" applyFill="1" applyAlignment="1">
      <alignment horizontal="center"/>
    </xf>
    <xf numFmtId="0" fontId="0" fillId="7" borderId="0" xfId="0" applyFill="1"/>
    <xf numFmtId="0" fontId="0" fillId="8" borderId="0" xfId="0" applyFill="1"/>
    <xf numFmtId="166" fontId="0" fillId="8" borderId="2" xfId="0" applyNumberFormat="1" applyFill="1" applyBorder="1" applyAlignment="1">
      <alignment horizontal="center"/>
    </xf>
    <xf numFmtId="166" fontId="0" fillId="7" borderId="8" xfId="0" applyNumberFormat="1" applyFill="1" applyBorder="1" applyAlignment="1">
      <alignment horizontal="center"/>
    </xf>
    <xf numFmtId="166" fontId="0" fillId="7" borderId="2" xfId="0" applyNumberFormat="1" applyFill="1" applyBorder="1" applyAlignment="1">
      <alignment horizontal="center"/>
    </xf>
    <xf numFmtId="166" fontId="0" fillId="9" borderId="8" xfId="0" applyNumberFormat="1" applyFill="1" applyBorder="1" applyAlignment="1">
      <alignment horizontal="center"/>
    </xf>
    <xf numFmtId="0" fontId="0" fillId="9" borderId="0" xfId="0" applyFill="1"/>
    <xf numFmtId="166" fontId="0" fillId="9" borderId="0" xfId="0" applyNumberFormat="1" applyFill="1" applyAlignment="1">
      <alignment horizontal="center"/>
    </xf>
    <xf numFmtId="166" fontId="0" fillId="9" borderId="2" xfId="0" applyNumberFormat="1" applyFill="1" applyBorder="1" applyAlignment="1">
      <alignment horizontal="center"/>
    </xf>
    <xf numFmtId="166" fontId="0" fillId="10" borderId="2" xfId="0" applyNumberFormat="1" applyFill="1" applyBorder="1" applyAlignment="1">
      <alignment horizontal="center"/>
    </xf>
    <xf numFmtId="0" fontId="0" fillId="10" borderId="0" xfId="0" applyFill="1"/>
    <xf numFmtId="166" fontId="0" fillId="11" borderId="2" xfId="0" applyNumberFormat="1" applyFill="1" applyBorder="1" applyAlignment="1">
      <alignment horizontal="center"/>
    </xf>
    <xf numFmtId="0" fontId="0" fillId="11" borderId="0" xfId="0" applyFill="1"/>
    <xf numFmtId="166" fontId="0" fillId="12" borderId="2" xfId="0" applyNumberFormat="1" applyFill="1" applyBorder="1" applyAlignment="1">
      <alignment horizontal="center"/>
    </xf>
    <xf numFmtId="0" fontId="0" fillId="12" borderId="0" xfId="0" applyFill="1"/>
    <xf numFmtId="166" fontId="0" fillId="13" borderId="2" xfId="0" applyNumberFormat="1" applyFill="1" applyBorder="1" applyAlignment="1">
      <alignment horizontal="center"/>
    </xf>
    <xf numFmtId="0" fontId="0" fillId="13" borderId="0" xfId="0" applyFill="1"/>
    <xf numFmtId="166" fontId="0" fillId="13" borderId="8" xfId="0" applyNumberFormat="1" applyFill="1" applyBorder="1" applyAlignment="1">
      <alignment horizontal="center"/>
    </xf>
    <xf numFmtId="166" fontId="0" fillId="13" borderId="0" xfId="0" applyNumberFormat="1" applyFill="1" applyAlignment="1">
      <alignment horizontal="center"/>
    </xf>
    <xf numFmtId="166" fontId="0" fillId="14" borderId="2" xfId="0" applyNumberFormat="1" applyFill="1" applyBorder="1" applyAlignment="1">
      <alignment horizontal="center"/>
    </xf>
    <xf numFmtId="0" fontId="0" fillId="14" borderId="0" xfId="0" applyFill="1"/>
    <xf numFmtId="166" fontId="0" fillId="10" borderId="0" xfId="0" applyNumberFormat="1" applyFill="1" applyAlignment="1">
      <alignment horizontal="center"/>
    </xf>
    <xf numFmtId="166" fontId="0" fillId="0" borderId="0" xfId="0" applyNumberFormat="1" applyAlignment="1">
      <alignment horizontal="center"/>
    </xf>
    <xf numFmtId="166" fontId="0" fillId="0" borderId="8" xfId="0" applyNumberFormat="1" applyBorder="1" applyAlignment="1">
      <alignment horizontal="center"/>
    </xf>
    <xf numFmtId="166" fontId="0" fillId="0" borderId="2" xfId="0" applyNumberFormat="1" applyBorder="1" applyAlignment="1">
      <alignment horizontal="center"/>
    </xf>
    <xf numFmtId="166" fontId="0" fillId="11" borderId="0" xfId="0" applyNumberFormat="1" applyFill="1" applyAlignment="1">
      <alignment horizontal="center"/>
    </xf>
    <xf numFmtId="166" fontId="0" fillId="14" borderId="8" xfId="0" applyNumberFormat="1" applyFill="1" applyBorder="1" applyAlignment="1">
      <alignment horizontal="center"/>
    </xf>
    <xf numFmtId="166" fontId="0" fillId="15" borderId="2" xfId="0" applyNumberFormat="1" applyFill="1" applyBorder="1" applyAlignment="1">
      <alignment horizontal="center"/>
    </xf>
    <xf numFmtId="0" fontId="0" fillId="15" borderId="0" xfId="0" applyFill="1"/>
    <xf numFmtId="0" fontId="0" fillId="0" borderId="9" xfId="0" applyBorder="1"/>
    <xf numFmtId="166" fontId="0" fillId="0" borderId="9" xfId="0" applyNumberFormat="1" applyBorder="1" applyAlignment="1">
      <alignment horizontal="center"/>
    </xf>
    <xf numFmtId="0" fontId="0" fillId="6" borderId="0" xfId="0" applyFill="1" applyBorder="1"/>
    <xf numFmtId="0" fontId="0" fillId="7" borderId="0" xfId="0" applyFill="1" applyBorder="1"/>
    <xf numFmtId="0" fontId="0" fillId="9" borderId="0" xfId="0" applyFill="1" applyBorder="1"/>
    <xf numFmtId="0" fontId="0" fillId="13" borderId="0" xfId="0" applyFill="1" applyBorder="1"/>
    <xf numFmtId="0" fontId="0" fillId="10" borderId="0" xfId="0" applyFill="1" applyBorder="1"/>
    <xf numFmtId="0" fontId="0" fillId="11" borderId="0" xfId="0" applyFill="1" applyBorder="1"/>
    <xf numFmtId="0" fontId="0" fillId="0" borderId="0" xfId="0" applyBorder="1"/>
    <xf numFmtId="166" fontId="0" fillId="0" borderId="16" xfId="0" applyNumberFormat="1" applyBorder="1" applyAlignment="1">
      <alignment horizontal="center"/>
    </xf>
    <xf numFmtId="166" fontId="0" fillId="6" borderId="12" xfId="0" applyNumberFormat="1" applyFill="1" applyBorder="1" applyAlignment="1">
      <alignment horizontal="center"/>
    </xf>
    <xf numFmtId="166" fontId="0" fillId="8" borderId="12" xfId="0" applyNumberFormat="1" applyFill="1" applyBorder="1" applyAlignment="1">
      <alignment horizontal="center"/>
    </xf>
    <xf numFmtId="166" fontId="0" fillId="7" borderId="12" xfId="0" applyNumberFormat="1" applyFill="1" applyBorder="1" applyAlignment="1">
      <alignment horizontal="center"/>
    </xf>
    <xf numFmtId="166" fontId="0" fillId="9" borderId="12" xfId="0" applyNumberFormat="1" applyFill="1" applyBorder="1" applyAlignment="1">
      <alignment horizontal="center"/>
    </xf>
    <xf numFmtId="166" fontId="0" fillId="13" borderId="12" xfId="0" applyNumberFormat="1" applyFill="1" applyBorder="1" applyAlignment="1">
      <alignment horizontal="center"/>
    </xf>
    <xf numFmtId="166" fontId="0" fillId="10" borderId="12" xfId="0" applyNumberFormat="1" applyFill="1" applyBorder="1" applyAlignment="1">
      <alignment horizontal="center"/>
    </xf>
    <xf numFmtId="166" fontId="0" fillId="14" borderId="12" xfId="0" applyNumberFormat="1" applyFill="1" applyBorder="1" applyAlignment="1">
      <alignment horizontal="center"/>
    </xf>
    <xf numFmtId="166" fontId="0" fillId="0" borderId="12" xfId="0" applyNumberFormat="1" applyBorder="1" applyAlignment="1">
      <alignment horizontal="center"/>
    </xf>
    <xf numFmtId="0" fontId="2" fillId="0" borderId="2" xfId="0" applyFont="1" applyBorder="1" applyAlignment="1">
      <alignment wrapText="1"/>
    </xf>
    <xf numFmtId="0" fontId="4" fillId="0" borderId="2" xfId="0" applyFont="1" applyBorder="1"/>
    <xf numFmtId="0" fontId="0" fillId="8" borderId="13" xfId="0" applyFill="1" applyBorder="1" applyAlignment="1"/>
    <xf numFmtId="166" fontId="0" fillId="8" borderId="0" xfId="0" applyNumberFormat="1" applyFill="1" applyAlignment="1">
      <alignment horizontal="center"/>
    </xf>
    <xf numFmtId="0" fontId="13" fillId="16" borderId="0" xfId="0" applyFont="1" applyFill="1" applyAlignment="1">
      <alignment horizontal="center" vertical="center"/>
    </xf>
    <xf numFmtId="164" fontId="13" fillId="16" borderId="0" xfId="0" applyNumberFormat="1" applyFont="1" applyFill="1" applyAlignment="1">
      <alignment horizontal="center"/>
    </xf>
    <xf numFmtId="0" fontId="13" fillId="16" borderId="0" xfId="0" applyFont="1" applyFill="1" applyAlignment="1">
      <alignment horizontal="center"/>
    </xf>
    <xf numFmtId="0" fontId="14" fillId="16" borderId="0" xfId="0" applyNumberFormat="1" applyFont="1" applyFill="1" applyAlignment="1">
      <alignment horizontal="center"/>
    </xf>
    <xf numFmtId="0" fontId="14" fillId="16" borderId="0" xfId="0" applyFont="1" applyFill="1" applyAlignment="1">
      <alignment horizontal="center"/>
    </xf>
    <xf numFmtId="165" fontId="0" fillId="0" borderId="0" xfId="0" applyNumberFormat="1" applyAlignment="1">
      <alignment horizontal="center"/>
    </xf>
    <xf numFmtId="0" fontId="12" fillId="0" borderId="0" xfId="0" applyFont="1" applyAlignment="1">
      <alignment horizontal="center" vertical="center"/>
    </xf>
    <xf numFmtId="164" fontId="12" fillId="0" borderId="0" xfId="0" applyNumberFormat="1" applyFont="1" applyAlignment="1">
      <alignment horizontal="center"/>
    </xf>
    <xf numFmtId="0" fontId="12" fillId="0" borderId="0" xfId="0" applyFont="1" applyAlignment="1">
      <alignment horizontal="center"/>
    </xf>
    <xf numFmtId="0" fontId="12" fillId="0" borderId="0" xfId="0" applyFont="1" applyFill="1" applyAlignment="1">
      <alignment horizontal="center"/>
    </xf>
    <xf numFmtId="0" fontId="8" fillId="0" borderId="0" xfId="0" applyNumberFormat="1" applyFont="1" applyAlignment="1">
      <alignment horizontal="center"/>
    </xf>
    <xf numFmtId="0" fontId="8" fillId="0" borderId="0" xfId="0" applyFont="1" applyAlignment="1">
      <alignment horizontal="center"/>
    </xf>
    <xf numFmtId="0" fontId="4" fillId="0" borderId="0" xfId="0" applyFont="1" applyAlignment="1">
      <alignment horizontal="center"/>
    </xf>
    <xf numFmtId="0" fontId="11" fillId="3" borderId="1" xfId="0" quotePrefix="1" applyFont="1" applyFill="1" applyBorder="1" applyAlignment="1">
      <alignment horizontal="center"/>
    </xf>
    <xf numFmtId="0" fontId="2" fillId="0" borderId="2" xfId="0" applyFont="1" applyBorder="1" applyAlignment="1">
      <alignment horizontal="center" wrapText="1"/>
    </xf>
    <xf numFmtId="0" fontId="11" fillId="3" borderId="0" xfId="0" quotePrefix="1" applyFont="1" applyFill="1" applyAlignment="1">
      <alignment horizontal="center"/>
    </xf>
    <xf numFmtId="0" fontId="0" fillId="0" borderId="7" xfId="0" applyBorder="1" applyAlignment="1">
      <alignment horizontal="center"/>
    </xf>
    <xf numFmtId="0" fontId="0" fillId="0" borderId="1" xfId="0" applyBorder="1" applyAlignment="1">
      <alignment horizontal="center"/>
    </xf>
    <xf numFmtId="0" fontId="0" fillId="7" borderId="12" xfId="0" applyFill="1" applyBorder="1" applyAlignment="1">
      <alignment horizontal="center"/>
    </xf>
    <xf numFmtId="0" fontId="0" fillId="7" borderId="13" xfId="0" applyFill="1" applyBorder="1" applyAlignment="1">
      <alignment horizontal="center"/>
    </xf>
    <xf numFmtId="166" fontId="0" fillId="9" borderId="12" xfId="0" applyNumberFormat="1" applyFill="1" applyBorder="1" applyAlignment="1">
      <alignment horizontal="center"/>
    </xf>
    <xf numFmtId="166" fontId="0" fillId="9" borderId="13" xfId="0" applyNumberFormat="1" applyFill="1" applyBorder="1" applyAlignment="1">
      <alignment horizontal="center"/>
    </xf>
    <xf numFmtId="166" fontId="0" fillId="0" borderId="14" xfId="0" applyNumberFormat="1" applyBorder="1" applyAlignment="1">
      <alignment horizontal="center"/>
    </xf>
    <xf numFmtId="166" fontId="0" fillId="0" borderId="15" xfId="0" applyNumberFormat="1" applyBorder="1" applyAlignment="1">
      <alignment horizontal="center"/>
    </xf>
    <xf numFmtId="166" fontId="0" fillId="14" borderId="14" xfId="0" applyNumberFormat="1" applyFill="1" applyBorder="1" applyAlignment="1">
      <alignment horizontal="center"/>
    </xf>
    <xf numFmtId="166" fontId="0" fillId="14" borderId="15" xfId="0" applyNumberFormat="1" applyFill="1" applyBorder="1" applyAlignment="1">
      <alignment horizontal="center"/>
    </xf>
    <xf numFmtId="166" fontId="0" fillId="0" borderId="10" xfId="0" applyNumberFormat="1" applyBorder="1" applyAlignment="1">
      <alignment horizontal="center"/>
    </xf>
    <xf numFmtId="166" fontId="0" fillId="0" borderId="11" xfId="0" applyNumberFormat="1" applyBorder="1" applyAlignment="1">
      <alignment horizontal="center"/>
    </xf>
    <xf numFmtId="166" fontId="0" fillId="13" borderId="14" xfId="0" applyNumberFormat="1" applyFill="1" applyBorder="1" applyAlignment="1">
      <alignment horizontal="center"/>
    </xf>
    <xf numFmtId="166" fontId="0" fillId="13" borderId="15" xfId="0" applyNumberFormat="1" applyFill="1" applyBorder="1" applyAlignment="1">
      <alignment horizontal="center"/>
    </xf>
    <xf numFmtId="0" fontId="0" fillId="6" borderId="12" xfId="0" applyFill="1" applyBorder="1" applyAlignment="1">
      <alignment horizontal="center"/>
    </xf>
    <xf numFmtId="0" fontId="0" fillId="6" borderId="13" xfId="0" applyFill="1" applyBorder="1" applyAlignment="1">
      <alignment horizontal="center"/>
    </xf>
    <xf numFmtId="0" fontId="0" fillId="8" borderId="12" xfId="0" applyFill="1" applyBorder="1" applyAlignment="1">
      <alignment horizontal="center"/>
    </xf>
    <xf numFmtId="0" fontId="0" fillId="8" borderId="13" xfId="0" applyFill="1" applyBorder="1" applyAlignment="1">
      <alignment horizontal="center"/>
    </xf>
    <xf numFmtId="166" fontId="0" fillId="0" borderId="12" xfId="0" applyNumberFormat="1" applyBorder="1" applyAlignment="1">
      <alignment horizontal="center"/>
    </xf>
    <xf numFmtId="166" fontId="0" fillId="0" borderId="13" xfId="0" applyNumberFormat="1" applyBorder="1" applyAlignment="1">
      <alignment horizontal="center"/>
    </xf>
    <xf numFmtId="0" fontId="0" fillId="0" borderId="4" xfId="0" applyBorder="1" applyAlignment="1">
      <alignment horizontal="center"/>
    </xf>
  </cellXfs>
  <cellStyles count="1">
    <cellStyle name="Normal" xfId="0" builtinId="0"/>
  </cellStyles>
  <dxfs count="33">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219577FC-D98B-4F39-9EE7-FDF2ECF405F5}">
      <tableStyleElement type="wholeTable" dxfId="32"/>
      <tableStyleElement type="headerRow" dxfId="3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4.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518160</xdr:colOff>
          <xdr:row>3</xdr:row>
          <xdr:rowOff>45720</xdr:rowOff>
        </xdr:from>
        <xdr:to>
          <xdr:col>5</xdr:col>
          <xdr:colOff>114300</xdr:colOff>
          <xdr:row>6</xdr:row>
          <xdr:rowOff>68580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Update Results</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6" xr16:uid="{25B23063-96B1-460C-90FB-F98A7EF75613}" autoFormatId="16" applyNumberFormats="0" applyBorderFormats="0" applyFontFormats="0" applyPatternFormats="0" applyAlignmentFormats="0" applyWidthHeightFormats="0">
  <queryTableRefresh nextId="24">
    <queryTableFields count="22">
      <queryTableField id="1" name="JOBNO" tableColumnId="1"/>
      <queryTableField id="2" name="ORDNO" tableColumnId="2"/>
      <queryTableField id="3" name="FITEM" tableColumnId="3"/>
      <queryTableField id="4" name="OPSEQ" tableColumnId="4"/>
      <queryTableField id="5" name="OPDSC" tableColumnId="5"/>
      <queryTableField id="6" name="Std Setup" tableColumnId="6"/>
      <queryTableField id="8" name="Std Run" tableColumnId="8"/>
      <queryTableField id="7" name="SSCST" tableColumnId="7"/>
      <queryTableField id="9" name="SRCST" tableColumnId="9"/>
      <queryTableField id="10" name="SOVCST" tableColumnId="10"/>
      <queryTableField id="11" name="Standard Assy Cost" tableColumnId="11"/>
      <queryTableField id="12" name="Act Setup" tableColumnId="12"/>
      <queryTableField id="13" name="Act Run" tableColumnId="13"/>
      <queryTableField id="14" name="Setup Lbr Cost" tableColumnId="14"/>
      <queryTableField id="15" name="Run Lbr Cost" tableColumnId="15"/>
      <queryTableField id="16" name="Overhead Cost" tableColumnId="16"/>
      <queryTableField id="17" name="Total Assy Cost" tableColumnId="17"/>
      <queryTableField id="18" name="WKCTR" tableColumnId="18"/>
      <queryTableField id="19" name="CATCD" tableColumnId="19"/>
      <queryTableField id="20" name="CATDS" tableColumnId="20"/>
      <queryTableField id="21" name="MOSRC" tableColumnId="21"/>
      <queryTableField id="22" name="COSRC" tableColumnId="2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3" connectionId="7" xr16:uid="{EF207CA4-C1C9-407C-9B28-23CFE282644B}" autoFormatId="16" applyNumberFormats="0" applyBorderFormats="0" applyFontFormats="0" applyPatternFormats="0" applyAlignmentFormats="0" applyWidthHeightFormats="0">
  <queryTableRefresh nextId="62">
    <queryTableFields count="12">
      <queryTableField id="34" name="CDCVNB" tableColumnId="3"/>
      <queryTableField id="35" name="CDAITX" tableColumnId="4"/>
      <queryTableField id="39" name="UCDEF" tableColumnId="8"/>
      <queryTableField id="40" name="EXUCDF" tableColumnId="9"/>
      <queryTableField id="41" name="SMAT" tableColumnId="10"/>
      <queryTableField id="42" name="SMAL" tableColumnId="11"/>
      <queryTableField id="43" name="SOOT" tableColumnId="12"/>
      <queryTableField id="44" name="SOOL" tableColumnId="13"/>
      <queryTableField id="60" name="TOTMAT" tableColumnId="18"/>
      <queryTableField id="14" name="CATCD" tableColumnId="14"/>
      <queryTableField id="15" name="CATDS" tableColumnId="15"/>
      <queryTableField id="17" name="COSRC" tableColumnId="17"/>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3" connectionId="8" xr16:uid="{D66201EA-B979-4EBC-889B-5390A86D0BB6}" autoFormatId="16" applyNumberFormats="0" applyBorderFormats="0" applyFontFormats="0" applyPatternFormats="0" applyAlignmentFormats="0" applyWidthHeightFormats="0">
  <queryTableRefresh nextId="32">
    <queryTableFields count="17">
      <queryTableField id="1" name="JOBNO" tableColumnId="1"/>
      <queryTableField id="2" name="ORDNO" tableColumnId="2"/>
      <queryTableField id="3" name="FITEM" tableColumnId="3"/>
      <queryTableField id="18" name="PART_NUMBER" tableColumnId="4"/>
      <queryTableField id="19" name="PART_DESCRIPTION" tableColumnId="5"/>
      <queryTableField id="20" name="QTY_REQ" tableColumnId="6"/>
      <queryTableField id="21" name="QTY_ISS" tableColumnId="7"/>
      <queryTableField id="22" name="UNIT_COST" tableColumnId="8"/>
      <queryTableField id="23" name="ACT_COST_TD" tableColumnId="9"/>
      <queryTableField id="24" name="ACT_COST_DEF" tableColumnId="10"/>
      <queryTableField id="11" name="ACUCDF" tableColumnId="11"/>
      <queryTableField id="12" name="STUCDF" tableColumnId="12"/>
      <queryTableField id="13" name="MXUCDF" tableColumnId="13"/>
      <queryTableField id="14" name="CATCD" tableColumnId="14"/>
      <queryTableField id="15" name="CATDS" tableColumnId="15"/>
      <queryTableField id="16" name="MOSRC" tableColumnId="16"/>
      <queryTableField id="17" name="COSRC" tableColumnId="17"/>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9" xr16:uid="{3F73C971-D117-4DD3-A818-A3EDE8231440}" autoFormatId="16" applyNumberFormats="0" applyBorderFormats="0" applyFontFormats="0" applyPatternFormats="0" applyAlignmentFormats="0" applyWidthHeightFormats="0">
  <queryTableRefresh nextId="14">
    <queryTableFields count="13">
      <queryTableField id="1" name="JOBNO" tableColumnId="1"/>
      <queryTableField id="2" name="ORDNO" tableColumnId="2"/>
      <queryTableField id="3" name="FITEM" tableColumnId="3"/>
      <queryTableField id="4" name="Setup Cost" tableColumnId="4"/>
      <queryTableField id="5" name="Labor Cost" tableColumnId="5"/>
      <queryTableField id="6" name="Ovh Cost" tableColumnId="6"/>
      <queryTableField id="7" name="Issue Cost" tableColumnId="7"/>
      <queryTableField id="8" name="Misc Cost" tableColumnId="8"/>
      <queryTableField id="9" name="CATCD" tableColumnId="9"/>
      <queryTableField id="10" name="CATDS" tableColumnId="10"/>
      <queryTableField id="11" name="MOSRC" tableColumnId="11"/>
      <queryTableField id="12" name="COSRC" tableColumnId="12"/>
      <queryTableField id="13" name="Total MO Cost" tableColumnId="1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D4DADD0-1282-412C-89E0-890E9BA47AE5}" name="Labor" displayName="Labor" ref="A1:V132" tableType="queryTable" totalsRowShown="0">
  <autoFilter ref="A1:V132" xr:uid="{3D02014A-562F-4201-9836-7CD50C01141E}"/>
  <tableColumns count="22">
    <tableColumn id="1" xr3:uid="{081A658C-7F45-4054-A375-FBE7E3A4CF86}" uniqueName="1" name="JOBNO" queryTableFieldId="1" dataDxfId="30"/>
    <tableColumn id="2" xr3:uid="{20CE4A4D-87DB-40A4-9EE3-84A826D51FAA}" uniqueName="2" name="ORDNO" queryTableFieldId="2" dataDxfId="29"/>
    <tableColumn id="3" xr3:uid="{DE09942E-3F0A-4529-9621-7E6B4D61F9B9}" uniqueName="3" name="FITEM" queryTableFieldId="3" dataDxfId="28"/>
    <tableColumn id="4" xr3:uid="{89C79A79-1F9C-4DDD-94CC-15323D2B5476}" uniqueName="4" name="OPSEQ" queryTableFieldId="4" dataDxfId="27"/>
    <tableColumn id="5" xr3:uid="{82AA95F8-C69D-45C2-B4AC-BBC93729CC20}" uniqueName="5" name="OPDSC" queryTableFieldId="5" dataDxfId="26"/>
    <tableColumn id="6" xr3:uid="{D8CBCACA-7638-4BB1-A311-5EF6E2E39119}" uniqueName="6" name="Std Setup" queryTableFieldId="6"/>
    <tableColumn id="8" xr3:uid="{04F4335E-C5D5-4987-A088-D6377808FF0F}" uniqueName="8" name="Std Run" queryTableFieldId="8"/>
    <tableColumn id="7" xr3:uid="{904693EF-55C6-4B35-9C9C-F9BF70D15A41}" uniqueName="7" name="SSCST" queryTableFieldId="7"/>
    <tableColumn id="9" xr3:uid="{BA5DB699-D399-4EBB-B45C-0979385218EF}" uniqueName="9" name="SRCST" queryTableFieldId="9"/>
    <tableColumn id="10" xr3:uid="{8A7F2723-3368-4332-86DB-925C2187EB55}" uniqueName="10" name="SOVCST" queryTableFieldId="10"/>
    <tableColumn id="11" xr3:uid="{01D24805-6A2C-4AEB-8B7A-0DEEB658C301}" uniqueName="11" name="Standard Assy Cost" queryTableFieldId="11"/>
    <tableColumn id="12" xr3:uid="{F305B4A0-3E2F-4978-88DC-347E05E9491F}" uniqueName="12" name="Act Setup" queryTableFieldId="12"/>
    <tableColumn id="13" xr3:uid="{726B09EB-FA09-46F7-9C06-A90A07AB0FB3}" uniqueName="13" name="Act Run" queryTableFieldId="13"/>
    <tableColumn id="14" xr3:uid="{62E7B486-C10E-4937-8811-A1FFF255A602}" uniqueName="14" name="Setup Lbr Cost" queryTableFieldId="14"/>
    <tableColumn id="15" xr3:uid="{EECF36B8-5B36-48E4-905F-6F8A34516AC0}" uniqueName="15" name="Run Lbr Cost" queryTableFieldId="15"/>
    <tableColumn id="16" xr3:uid="{C75B8276-F5E4-4889-A5A0-986F276B7046}" uniqueName="16" name="Overhead Cost" queryTableFieldId="16"/>
    <tableColumn id="17" xr3:uid="{F7D1A952-4BBB-48D5-8AE9-200127F65553}" uniqueName="17" name="Total Assy Cost" queryTableFieldId="17"/>
    <tableColumn id="18" xr3:uid="{33479548-D706-4756-966D-387144B93C7D}" uniqueName="18" name="WKCTR" queryTableFieldId="18" dataDxfId="25"/>
    <tableColumn id="19" xr3:uid="{C0B15101-7FC6-427A-B4CB-BB21AFEBA5E3}" uniqueName="19" name="CATCD" queryTableFieldId="19" dataDxfId="24"/>
    <tableColumn id="20" xr3:uid="{33FAAF73-A852-4007-8A5A-2145E7DBAA57}" uniqueName="20" name="CATDS" queryTableFieldId="20" dataDxfId="23"/>
    <tableColumn id="21" xr3:uid="{CBBE7833-0038-4116-90BA-10FEFF0CE45C}" uniqueName="21" name="MOSRC" queryTableFieldId="21" dataDxfId="22"/>
    <tableColumn id="22" xr3:uid="{4843A9A0-D2B3-4482-8C42-9A8CB5263003}" uniqueName="22" name="COSRC" queryTableFieldId="22" dataDxfId="2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6EF005F-780A-4A55-89DC-115892A270E4}" name="Material__Line_Items" displayName="Material__Line_Items" ref="A1:L52" tableType="queryTable" totalsRowShown="0">
  <autoFilter ref="A1:L52" xr:uid="{F50781CD-CAD2-43A6-B1F0-304DB5E1C816}"/>
  <tableColumns count="12">
    <tableColumn id="3" xr3:uid="{152E3F94-96E4-4CFB-B0D5-62B238227451}" uniqueName="3" name="CDCVNB" queryTableFieldId="34" dataDxfId="20"/>
    <tableColumn id="4" xr3:uid="{7FEECEBB-1747-4874-A42F-4EC6A4DB0781}" uniqueName="4" name="CDAITX" queryTableFieldId="35" dataDxfId="19"/>
    <tableColumn id="8" xr3:uid="{8EDF3F20-E929-48B9-B576-88A48226B1AC}" uniqueName="8" name="UCDEF" queryTableFieldId="39"/>
    <tableColumn id="9" xr3:uid="{E1E91D23-A2CD-40FF-80E1-5DD064B0AE3D}" uniqueName="9" name="EXUCDF" queryTableFieldId="40"/>
    <tableColumn id="10" xr3:uid="{519501BD-345F-4AD7-9988-91A8A69D524B}" uniqueName="10" name="SMAT" queryTableFieldId="41"/>
    <tableColumn id="11" xr3:uid="{12BA8BA2-13C5-454F-93E3-E2355017DCD8}" uniqueName="11" name="SMAL" queryTableFieldId="42"/>
    <tableColumn id="12" xr3:uid="{0CCF36BA-E294-4053-9180-A6733736C50F}" uniqueName="12" name="SOOT" queryTableFieldId="43"/>
    <tableColumn id="13" xr3:uid="{FBED5EEE-45A8-4E57-B613-DF42078E42A7}" uniqueName="13" name="SOOL" queryTableFieldId="44"/>
    <tableColumn id="18" xr3:uid="{AE1AD28D-5D49-4174-BF16-4FDBEFE239B2}" uniqueName="18" name="TOTMAT" queryTableFieldId="60"/>
    <tableColumn id="14" xr3:uid="{1AA883EB-A725-427C-B867-B813B59B1E5D}" uniqueName="14" name="CATCD" queryTableFieldId="14" dataDxfId="18"/>
    <tableColumn id="15" xr3:uid="{4343F98F-5D27-4CCA-9219-1993F2C337CD}" uniqueName="15" name="CATDS" queryTableFieldId="15" dataDxfId="17"/>
    <tableColumn id="17" xr3:uid="{224FA896-5D5A-46D5-B9E1-9E284AF354F3}" uniqueName="17" name="COSRC" queryTableFieldId="17" dataDxfId="16"/>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26079B3-2F8A-4182-8293-DD922A0FE3CF}" name="Material__Planned" displayName="Material__Planned" ref="A1:Q171" tableType="queryTable" totalsRowShown="0">
  <autoFilter ref="A1:Q171" xr:uid="{F50781CD-CAD2-43A6-B1F0-304DB5E1C816}">
    <filterColumn colId="0">
      <filters>
        <filter val="452828"/>
      </filters>
    </filterColumn>
  </autoFilter>
  <tableColumns count="17">
    <tableColumn id="1" xr3:uid="{4F55812A-B230-4597-AF5D-B0CAC26D4E94}" uniqueName="1" name="JOBNO" queryTableFieldId="1" dataDxfId="15"/>
    <tableColumn id="2" xr3:uid="{5452E3DB-2D8E-4D0A-A873-E0517CDC52C2}" uniqueName="2" name="ORDNO" queryTableFieldId="2" dataDxfId="14"/>
    <tableColumn id="3" xr3:uid="{A81E7D51-1CFD-4AA2-93A6-702E7D744A25}" uniqueName="3" name="FITEM" queryTableFieldId="3" dataDxfId="13"/>
    <tableColumn id="4" xr3:uid="{82A82622-0444-407B-95C4-1AFF6AFFA076}" uniqueName="4" name="PART_NUMBER" queryTableFieldId="18" dataDxfId="12"/>
    <tableColumn id="5" xr3:uid="{5EB442CA-2207-40B3-A330-B0C02238A64B}" uniqueName="5" name="PART_DESCRIPTION" queryTableFieldId="19" dataDxfId="11"/>
    <tableColumn id="6" xr3:uid="{F93CAE48-02B9-41AD-BB99-8B3772CA4A6A}" uniqueName="6" name="QTY_REQ" queryTableFieldId="20"/>
    <tableColumn id="7" xr3:uid="{F2C88866-3EEB-4C18-B8BC-38C788759BEC}" uniqueName="7" name="QTY_ISS" queryTableFieldId="21"/>
    <tableColumn id="8" xr3:uid="{6BCA0807-A3F6-4C05-9CA5-C87DB129A99B}" uniqueName="8" name="UNIT_COST" queryTableFieldId="22"/>
    <tableColumn id="9" xr3:uid="{12A6E81F-B25A-4B59-92ED-9592C12F763F}" uniqueName="9" name="ACT_COST_TD" queryTableFieldId="23"/>
    <tableColumn id="10" xr3:uid="{EE4F2F52-2D20-4371-8F44-AAA77B2AC78F}" uniqueName="10" name="ACT_COST_DEF" queryTableFieldId="24"/>
    <tableColumn id="11" xr3:uid="{A9B504B0-5AE2-4920-B2C0-B24A662055A4}" uniqueName="11" name="ACUCDF" queryTableFieldId="11"/>
    <tableColumn id="12" xr3:uid="{EB606B08-37EF-4D79-A122-7A16441FD593}" uniqueName="12" name="STUCDF" queryTableFieldId="12"/>
    <tableColumn id="13" xr3:uid="{7B18AF68-D6E1-4A0C-BB32-91A9333FB0EA}" uniqueName="13" name="MXUCDF" queryTableFieldId="13"/>
    <tableColumn id="14" xr3:uid="{EE16391D-F36F-4E35-8FB4-1BD98FE62BBA}" uniqueName="14" name="CATCD" queryTableFieldId="14" dataDxfId="10"/>
    <tableColumn id="15" xr3:uid="{84129CF8-EC3C-47F8-A83D-B144E75290A4}" uniqueName="15" name="CATDS" queryTableFieldId="15" dataDxfId="9"/>
    <tableColumn id="16" xr3:uid="{78590FED-BC84-49DB-A7F0-BE766419C45D}" uniqueName="16" name="MOSRC" queryTableFieldId="16" dataDxfId="8"/>
    <tableColumn id="17" xr3:uid="{64C58540-5485-4DEB-A10A-F49AB88CBE95}" uniqueName="17" name="COSRC" queryTableFieldId="17" dataDxfId="7"/>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90A4B85-E307-49F2-B6D4-C19EF917C0EB}" name="Rework" displayName="Rework" ref="A1:M2" tableType="queryTable" insertRow="1" totalsRowShown="0">
  <autoFilter ref="A1:M2" xr:uid="{1AB63336-36FF-4B7D-8EF3-65113F4C5BB9}"/>
  <tableColumns count="13">
    <tableColumn id="1" xr3:uid="{0E91506B-B07B-4C2E-8E83-7FEF1D71D519}" uniqueName="1" name="JOBNO" queryTableFieldId="1" dataDxfId="6"/>
    <tableColumn id="2" xr3:uid="{F09C1124-B032-43E0-83CE-F44DF992F07F}" uniqueName="2" name="ORDNO" queryTableFieldId="2" dataDxfId="5"/>
    <tableColumn id="3" xr3:uid="{528A4364-108D-4424-B9D9-523BAB41E9F5}" uniqueName="3" name="FITEM" queryTableFieldId="3" dataDxfId="4"/>
    <tableColumn id="4" xr3:uid="{8D5B3758-C9FA-4381-9A59-F15997DAA1A7}" uniqueName="4" name="Setup Cost" queryTableFieldId="4"/>
    <tableColumn id="5" xr3:uid="{62A5528A-97EA-452A-BB75-7CB494EFCE02}" uniqueName="5" name="Labor Cost" queryTableFieldId="5"/>
    <tableColumn id="6" xr3:uid="{1C80A76F-76B9-43F6-9223-220BAD0633D4}" uniqueName="6" name="Ovh Cost" queryTableFieldId="6"/>
    <tableColumn id="7" xr3:uid="{E77AD8FD-C8E2-49C5-82E2-D3461885E6F1}" uniqueName="7" name="Issue Cost" queryTableFieldId="7"/>
    <tableColumn id="8" xr3:uid="{C7D6385C-9556-4EB0-8FA9-976B4AA73DBA}" uniqueName="8" name="Misc Cost" queryTableFieldId="8"/>
    <tableColumn id="9" xr3:uid="{4FE01E9B-6E33-446E-AA10-C4ABE435921D}" uniqueName="9" name="CATCD" queryTableFieldId="9" dataDxfId="3"/>
    <tableColumn id="10" xr3:uid="{EB863608-D261-434A-B75C-DD9173274E52}" uniqueName="10" name="CATDS" queryTableFieldId="10" dataDxfId="2"/>
    <tableColumn id="11" xr3:uid="{9CE97B8E-79E3-41BE-8391-5CA7A8E54ED4}" uniqueName="11" name="MOSRC" queryTableFieldId="11" dataDxfId="1"/>
    <tableColumn id="12" xr3:uid="{FAF02A79-CAC3-4E30-ADB1-551E23DD6955}" uniqueName="12" name="COSRC" queryTableFieldId="12" dataDxfId="0"/>
    <tableColumn id="13" xr3:uid="{06FF7762-AEBB-47BD-AD2B-2DAAB97086CE}" uniqueName="13" name="Total MO Cost" queryTableFieldId="13"/>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302DB-F46E-49E4-A6A4-094983232D9C}">
  <sheetPr codeName="Sheet2"/>
  <dimension ref="A1:N78"/>
  <sheetViews>
    <sheetView showGridLines="0" tabSelected="1" workbookViewId="0"/>
  </sheetViews>
  <sheetFormatPr defaultRowHeight="21" x14ac:dyDescent="0.4"/>
  <cols>
    <col min="1" max="1" width="11.5546875" style="3" customWidth="1"/>
    <col min="13" max="14" width="11.44140625" bestFit="1" customWidth="1"/>
  </cols>
  <sheetData>
    <row r="1" spans="1:14" x14ac:dyDescent="0.4">
      <c r="A1" s="4" t="s">
        <v>40</v>
      </c>
      <c r="B1" s="10"/>
    </row>
    <row r="2" spans="1:14" x14ac:dyDescent="0.4">
      <c r="A2" s="3">
        <v>449022</v>
      </c>
      <c r="C2" s="98" t="s">
        <v>1</v>
      </c>
      <c r="D2" s="98"/>
      <c r="E2" s="98"/>
      <c r="F2" s="98"/>
      <c r="G2" s="98"/>
    </row>
    <row r="3" spans="1:14" x14ac:dyDescent="0.4">
      <c r="A3" s="3">
        <v>431774</v>
      </c>
    </row>
    <row r="4" spans="1:14" x14ac:dyDescent="0.4">
      <c r="A4" s="3">
        <v>431772</v>
      </c>
    </row>
    <row r="5" spans="1:14" x14ac:dyDescent="0.4">
      <c r="A5" s="3">
        <v>431775</v>
      </c>
    </row>
    <row r="6" spans="1:14" x14ac:dyDescent="0.4">
      <c r="A6" s="3">
        <v>455878</v>
      </c>
      <c r="M6" s="9"/>
      <c r="N6" s="9"/>
    </row>
    <row r="7" spans="1:14" x14ac:dyDescent="0.4">
      <c r="A7" s="3">
        <v>456103</v>
      </c>
      <c r="M7" s="9"/>
      <c r="N7" s="9"/>
    </row>
    <row r="8" spans="1:14" x14ac:dyDescent="0.4">
      <c r="L8" s="9"/>
      <c r="M8" s="9"/>
    </row>
    <row r="9" spans="1:14" x14ac:dyDescent="0.4">
      <c r="L9" s="9"/>
      <c r="M9" s="9"/>
    </row>
    <row r="10" spans="1:14" x14ac:dyDescent="0.4">
      <c r="L10" s="9"/>
      <c r="M10" s="9"/>
    </row>
    <row r="11" spans="1:14" x14ac:dyDescent="0.4">
      <c r="L11" s="9"/>
      <c r="M11" s="9"/>
    </row>
    <row r="12" spans="1:14" x14ac:dyDescent="0.4">
      <c r="L12" s="9"/>
      <c r="M12" s="9"/>
    </row>
    <row r="14" spans="1:14" x14ac:dyDescent="0.4">
      <c r="L14" s="9"/>
      <c r="M14" s="9"/>
    </row>
    <row r="15" spans="1:14" x14ac:dyDescent="0.4">
      <c r="L15" s="9"/>
      <c r="M15" s="9"/>
    </row>
    <row r="17" spans="13:14" x14ac:dyDescent="0.4">
      <c r="M17" s="9"/>
      <c r="N17" s="9"/>
    </row>
    <row r="18" spans="13:14" x14ac:dyDescent="0.4">
      <c r="M18" s="9"/>
      <c r="N18" s="9"/>
    </row>
    <row r="19" spans="13:14" x14ac:dyDescent="0.4">
      <c r="M19" s="9"/>
      <c r="N19" s="9"/>
    </row>
    <row r="21" spans="13:14" x14ac:dyDescent="0.4">
      <c r="M21" s="9"/>
      <c r="N21" s="9"/>
    </row>
    <row r="22" spans="13:14" x14ac:dyDescent="0.4">
      <c r="M22" s="9"/>
      <c r="N22" s="9"/>
    </row>
    <row r="23" spans="13:14" x14ac:dyDescent="0.4">
      <c r="M23" s="9"/>
      <c r="N23" s="9"/>
    </row>
    <row r="25" spans="13:14" x14ac:dyDescent="0.4">
      <c r="M25" s="9"/>
      <c r="N25" s="9"/>
    </row>
    <row r="26" spans="13:14" x14ac:dyDescent="0.4">
      <c r="M26" s="9"/>
      <c r="N26" s="9"/>
    </row>
    <row r="27" spans="13:14" x14ac:dyDescent="0.4">
      <c r="M27" s="9"/>
      <c r="N27" s="9"/>
    </row>
    <row r="30" spans="13:14" x14ac:dyDescent="0.4">
      <c r="M30" s="9"/>
      <c r="N30" s="9"/>
    </row>
    <row r="31" spans="13:14" x14ac:dyDescent="0.4">
      <c r="M31" s="9"/>
      <c r="N31" s="9"/>
    </row>
    <row r="32" spans="13:14" x14ac:dyDescent="0.4">
      <c r="M32" s="9"/>
      <c r="N32" s="9"/>
    </row>
    <row r="34" spans="13:14" x14ac:dyDescent="0.4">
      <c r="M34" s="9"/>
      <c r="N34" s="9"/>
    </row>
    <row r="36" spans="13:14" x14ac:dyDescent="0.4">
      <c r="M36" s="9"/>
      <c r="N36" s="9"/>
    </row>
    <row r="39" spans="13:14" x14ac:dyDescent="0.4">
      <c r="M39" s="9"/>
      <c r="N39" s="9"/>
    </row>
    <row r="41" spans="13:14" x14ac:dyDescent="0.4">
      <c r="M41" s="9"/>
      <c r="N41" s="9"/>
    </row>
    <row r="42" spans="13:14" x14ac:dyDescent="0.4">
      <c r="M42" s="9"/>
      <c r="N42" s="9"/>
    </row>
    <row r="43" spans="13:14" x14ac:dyDescent="0.4">
      <c r="M43" s="9"/>
      <c r="N43" s="9"/>
    </row>
    <row r="46" spans="13:14" x14ac:dyDescent="0.4">
      <c r="M46" s="9"/>
      <c r="N46" s="9"/>
    </row>
    <row r="48" spans="13:14" x14ac:dyDescent="0.4">
      <c r="M48" s="9"/>
      <c r="N48" s="9"/>
    </row>
    <row r="50" spans="13:14" x14ac:dyDescent="0.4">
      <c r="M50" s="9"/>
      <c r="N50" s="9"/>
    </row>
    <row r="52" spans="13:14" x14ac:dyDescent="0.4">
      <c r="M52" s="9"/>
      <c r="N52" s="9"/>
    </row>
    <row r="53" spans="13:14" x14ac:dyDescent="0.4">
      <c r="M53" s="9"/>
      <c r="N53" s="9"/>
    </row>
    <row r="54" spans="13:14" x14ac:dyDescent="0.4">
      <c r="M54" s="9"/>
      <c r="N54" s="9"/>
    </row>
    <row r="56" spans="13:14" x14ac:dyDescent="0.4">
      <c r="M56" s="9"/>
      <c r="N56" s="9"/>
    </row>
    <row r="57" spans="13:14" x14ac:dyDescent="0.4">
      <c r="M57" s="9"/>
      <c r="N57" s="9"/>
    </row>
    <row r="59" spans="13:14" x14ac:dyDescent="0.4">
      <c r="M59" s="9"/>
      <c r="N59" s="9"/>
    </row>
    <row r="61" spans="13:14" x14ac:dyDescent="0.4">
      <c r="M61" s="9"/>
      <c r="N61" s="9"/>
    </row>
    <row r="62" spans="13:14" x14ac:dyDescent="0.4">
      <c r="M62" s="9"/>
      <c r="N62" s="9"/>
    </row>
    <row r="63" spans="13:14" x14ac:dyDescent="0.4">
      <c r="M63" s="9"/>
      <c r="N63" s="9"/>
    </row>
    <row r="65" spans="13:14" x14ac:dyDescent="0.4">
      <c r="M65" s="9"/>
      <c r="N65" s="9"/>
    </row>
    <row r="67" spans="13:14" x14ac:dyDescent="0.4">
      <c r="M67" s="9"/>
      <c r="N67" s="9"/>
    </row>
    <row r="68" spans="13:14" x14ac:dyDescent="0.4">
      <c r="M68" s="9"/>
      <c r="N68" s="9"/>
    </row>
    <row r="69" spans="13:14" x14ac:dyDescent="0.4">
      <c r="M69" s="9"/>
      <c r="N69" s="9"/>
    </row>
    <row r="70" spans="13:14" x14ac:dyDescent="0.4">
      <c r="M70" s="9"/>
      <c r="N70" s="9"/>
    </row>
    <row r="72" spans="13:14" x14ac:dyDescent="0.4">
      <c r="M72" s="9"/>
      <c r="N72" s="9"/>
    </row>
    <row r="73" spans="13:14" x14ac:dyDescent="0.4">
      <c r="M73" s="9"/>
      <c r="N73" s="9"/>
    </row>
    <row r="74" spans="13:14" x14ac:dyDescent="0.4">
      <c r="M74" s="9"/>
      <c r="N74" s="9"/>
    </row>
    <row r="75" spans="13:14" x14ac:dyDescent="0.4">
      <c r="M75" s="9"/>
      <c r="N75" s="9"/>
    </row>
    <row r="76" spans="13:14" x14ac:dyDescent="0.4">
      <c r="M76" s="9"/>
      <c r="N76" s="9"/>
    </row>
    <row r="77" spans="13:14" x14ac:dyDescent="0.4">
      <c r="M77" s="9"/>
      <c r="N77" s="9"/>
    </row>
    <row r="78" spans="13:14" x14ac:dyDescent="0.4">
      <c r="M78" s="9"/>
      <c r="N78" s="9"/>
    </row>
  </sheetData>
  <mergeCells count="1">
    <mergeCell ref="C2:G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efreshData">
                <anchor moveWithCells="1">
                  <from>
                    <xdr:col>3</xdr:col>
                    <xdr:colOff>518160</xdr:colOff>
                    <xdr:row>3</xdr:row>
                    <xdr:rowOff>45720</xdr:rowOff>
                  </from>
                  <to>
                    <xdr:col>5</xdr:col>
                    <xdr:colOff>114300</xdr:colOff>
                    <xdr:row>6</xdr:row>
                    <xdr:rowOff>68580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A871B-F840-471E-9926-91DE047AA4D6}">
  <sheetPr codeName="Sheet1"/>
  <dimension ref="A1:A3"/>
  <sheetViews>
    <sheetView workbookViewId="0">
      <selection activeCell="C12" sqref="C12"/>
    </sheetView>
  </sheetViews>
  <sheetFormatPr defaultRowHeight="14.4" x14ac:dyDescent="0.3"/>
  <sheetData>
    <row r="1" spans="1:1" x14ac:dyDescent="0.3">
      <c r="A1" t="s">
        <v>0</v>
      </c>
    </row>
    <row r="3" spans="1:1" x14ac:dyDescent="0.3">
      <c r="A3" t="str">
        <f>"'"&amp;_xlfn.TEXTJOIN("','",TRUE,'CO List'!A:A) &amp;"'"</f>
        <v>'CO','449022','431774','431772','431775','455878','456103'</v>
      </c>
    </row>
  </sheetData>
  <sheetProtection algorithmName="SHA-512" hashValue="MWkYA4Ut1lhl52tIy0FRVQ02fsBSePCg/d9cQEyFtG8QsEnpRSA19eyoK96fLAd+9e2Jt4MWsYUR6/eY5EG3eg==" saltValue="T5ocIC5Xaib8i50TYVxRaw==" spinCount="100000"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66B852-1367-40A5-A76B-CC86F692C9FC}">
  <sheetPr codeName="Sheet3"/>
  <dimension ref="A1:J8"/>
  <sheetViews>
    <sheetView showGridLines="0" zoomScale="80" zoomScaleNormal="80" workbookViewId="0">
      <pane xSplit="1" ySplit="2" topLeftCell="B3" activePane="bottomRight" state="frozen"/>
      <selection pane="topRight" activeCell="B1" sqref="B1"/>
      <selection pane="bottomLeft" activeCell="A4" sqref="A4"/>
      <selection pane="bottomRight" activeCell="M5" sqref="M5"/>
    </sheetView>
  </sheetViews>
  <sheetFormatPr defaultRowHeight="21" x14ac:dyDescent="0.4"/>
  <cols>
    <col min="1" max="1" width="14" style="14" customWidth="1"/>
    <col min="2" max="2" width="14" style="25" customWidth="1"/>
    <col min="3" max="3" width="14" style="24" customWidth="1"/>
    <col min="4" max="5" width="14" style="23" customWidth="1"/>
    <col min="6" max="6" width="14" style="20" customWidth="1"/>
    <col min="7" max="7" width="14" style="21" customWidth="1"/>
    <col min="8" max="8" width="14" style="22" customWidth="1"/>
    <col min="9" max="9" width="3" customWidth="1"/>
    <col min="10" max="10" width="9.109375" style="83"/>
  </cols>
  <sheetData>
    <row r="1" spans="1:10" s="11" customFormat="1" ht="18.75" customHeight="1" x14ac:dyDescent="0.4">
      <c r="A1" s="99" t="s">
        <v>1116</v>
      </c>
      <c r="B1" s="99"/>
      <c r="C1" s="99"/>
      <c r="D1" s="99"/>
      <c r="E1" s="99"/>
      <c r="F1" s="99"/>
      <c r="G1" s="99"/>
      <c r="H1" s="99"/>
      <c r="I1" s="82"/>
      <c r="J1" s="100" t="s">
        <v>191</v>
      </c>
    </row>
    <row r="2" spans="1:10" s="12" customFormat="1" x14ac:dyDescent="0.4">
      <c r="A2" s="15"/>
      <c r="B2" s="16" t="s">
        <v>50</v>
      </c>
      <c r="C2" s="18" t="s">
        <v>51</v>
      </c>
      <c r="D2" s="17" t="s">
        <v>52</v>
      </c>
      <c r="E2" s="17" t="s">
        <v>53</v>
      </c>
      <c r="F2" s="18" t="s">
        <v>66</v>
      </c>
      <c r="G2" s="17" t="s">
        <v>67</v>
      </c>
      <c r="H2" s="19" t="s">
        <v>54</v>
      </c>
      <c r="I2" s="82"/>
      <c r="J2" s="100"/>
    </row>
    <row r="3" spans="1:10" x14ac:dyDescent="0.4">
      <c r="A3" s="14">
        <v>449022</v>
      </c>
      <c r="B3" s="25">
        <f>MAX(SUMIFS('Material (Line Items)'!I:I,'Material (Line Items)'!A:A,A3),SUMIFS('Material (Planned)'!I:I,'Material (Planned)'!A:A,A3))</f>
        <v>602586.36034999997</v>
      </c>
      <c r="C3" s="24">
        <v>1118.4000244140625</v>
      </c>
      <c r="D3" s="23">
        <v>1812.3499755859375</v>
      </c>
      <c r="E3" s="23">
        <v>0</v>
      </c>
      <c r="F3" s="20">
        <v>72.360000610351563</v>
      </c>
      <c r="G3" s="21">
        <v>214.91000366210938</v>
      </c>
      <c r="H3" s="22">
        <v>0</v>
      </c>
      <c r="J3" s="83" t="s">
        <v>1112</v>
      </c>
    </row>
    <row r="4" spans="1:10" x14ac:dyDescent="0.4">
      <c r="A4" s="14">
        <v>431774</v>
      </c>
      <c r="B4" s="25">
        <f>MAX(SUMIFS('Material (Line Items)'!I:I,'Material (Line Items)'!A:A,A4),SUMIFS('Material (Planned)'!I:I,'Material (Planned)'!A:A,A4))</f>
        <v>1590737.8799999997</v>
      </c>
      <c r="C4" s="24">
        <v>942.98004150390625</v>
      </c>
      <c r="D4" s="23">
        <v>2074.81005859375</v>
      </c>
      <c r="E4" s="23">
        <v>0</v>
      </c>
      <c r="F4" s="20">
        <v>464.9599609375</v>
      </c>
      <c r="G4" s="21">
        <v>686.9100341796875</v>
      </c>
      <c r="H4" s="22">
        <v>186.08999633789063</v>
      </c>
      <c r="J4" s="83" t="s">
        <v>1113</v>
      </c>
    </row>
    <row r="5" spans="1:10" x14ac:dyDescent="0.4">
      <c r="A5" s="14">
        <v>431772</v>
      </c>
      <c r="B5" s="25">
        <f>MAX(SUMIFS('Material (Line Items)'!I:I,'Material (Line Items)'!A:A,A5),SUMIFS('Material (Planned)'!I:I,'Material (Planned)'!A:A,A5))</f>
        <v>1193080.9752</v>
      </c>
      <c r="C5" s="24">
        <v>969.97003173828125</v>
      </c>
      <c r="D5" s="23">
        <v>407.47000122070313</v>
      </c>
      <c r="E5" s="23">
        <v>0</v>
      </c>
      <c r="F5" s="20">
        <v>478.260009765625</v>
      </c>
      <c r="G5" s="21">
        <v>196.72999572753906</v>
      </c>
      <c r="H5" s="22">
        <v>0</v>
      </c>
      <c r="J5" s="83" t="s">
        <v>1114</v>
      </c>
    </row>
    <row r="6" spans="1:10" x14ac:dyDescent="0.4">
      <c r="A6" s="14">
        <v>431775</v>
      </c>
      <c r="B6" s="25">
        <f>MAX(SUMIFS('Material (Line Items)'!I:I,'Material (Line Items)'!A:A,A6),SUMIFS('Material (Planned)'!I:I,'Material (Planned)'!A:A,A6))</f>
        <v>1138721.1551999999</v>
      </c>
      <c r="C6" s="24">
        <v>1319.72998046875</v>
      </c>
      <c r="D6" s="23">
        <v>406.239990234375</v>
      </c>
      <c r="E6" s="23">
        <v>0</v>
      </c>
      <c r="F6" s="20">
        <v>500.64004516601563</v>
      </c>
      <c r="G6" s="21">
        <v>167.6199951171875</v>
      </c>
      <c r="H6" s="22">
        <v>12.470000267028809</v>
      </c>
      <c r="J6" s="83" t="s">
        <v>1115</v>
      </c>
    </row>
    <row r="7" spans="1:10" x14ac:dyDescent="0.4">
      <c r="A7" s="14">
        <v>455878</v>
      </c>
      <c r="B7" s="25">
        <f>MAX(SUMIFS('Material (Line Items)'!I:I,'Material (Line Items)'!A:A,A7),SUMIFS('Material (Planned)'!I:I,'Material (Planned)'!A:A,A7))</f>
        <v>64192.544069999996</v>
      </c>
    </row>
    <row r="8" spans="1:10" x14ac:dyDescent="0.4">
      <c r="A8" s="14">
        <v>456103</v>
      </c>
      <c r="B8" s="25">
        <f>MAX(SUMIFS('Material (Line Items)'!I:I,'Material (Line Items)'!A:A,A8),SUMIFS('Material (Planned)'!I:I,'Material (Planned)'!A:A,A8))</f>
        <v>37966.283800000005</v>
      </c>
    </row>
  </sheetData>
  <mergeCells count="2">
    <mergeCell ref="A1:H1"/>
    <mergeCell ref="J1:J2"/>
  </mergeCells>
  <pageMargins left="0.7" right="0.7" top="0.75" bottom="0.75" header="0.3" footer="0.3"/>
  <pageSetup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FAF45D-12B2-4A9B-BDD2-DBE783A35513}">
  <sheetPr codeName="Sheet9">
    <pageSetUpPr autoPageBreaks="0"/>
  </sheetPr>
  <dimension ref="A1:N309"/>
  <sheetViews>
    <sheetView workbookViewId="0">
      <pane xSplit="1" ySplit="1" topLeftCell="B2" activePane="bottomRight" state="frozen"/>
      <selection pane="topRight" activeCell="B1" sqref="B1"/>
      <selection pane="bottomLeft" activeCell="A3" sqref="A3"/>
      <selection pane="bottomRight" activeCell="I3" sqref="I3"/>
    </sheetView>
  </sheetViews>
  <sheetFormatPr defaultRowHeight="14.4" x14ac:dyDescent="0.3"/>
  <cols>
    <col min="1" max="1" width="17.33203125" style="5" bestFit="1" customWidth="1"/>
    <col min="2" max="2" width="8.77734375" style="2" bestFit="1" customWidth="1"/>
    <col min="3" max="3" width="17" style="2" bestFit="1" customWidth="1"/>
    <col min="4" max="4" width="32" style="6" bestFit="1" customWidth="1"/>
    <col min="5" max="5" width="3" style="6" bestFit="1" customWidth="1"/>
    <col min="6" max="7" width="2" style="8" bestFit="1" customWidth="1"/>
    <col min="8" max="8" width="16.6640625" style="7" bestFit="1" customWidth="1"/>
    <col min="9" max="9" width="11.44140625" style="6" bestFit="1" customWidth="1"/>
    <col min="10" max="10" width="5.6640625" bestFit="1" customWidth="1"/>
    <col min="11" max="11" width="9" bestFit="1" customWidth="1"/>
    <col min="12" max="12" width="4.6640625" bestFit="1" customWidth="1"/>
    <col min="13" max="14" width="11.44140625" bestFit="1" customWidth="1"/>
    <col min="15" max="15" width="6" bestFit="1" customWidth="1"/>
    <col min="16" max="16" width="4.109375" bestFit="1" customWidth="1"/>
    <col min="17" max="17" width="18.6640625" bestFit="1" customWidth="1"/>
    <col min="18" max="18" width="3.44140625" bestFit="1" customWidth="1"/>
    <col min="19" max="19" width="8.33203125" bestFit="1" customWidth="1"/>
  </cols>
  <sheetData>
    <row r="1" spans="1:14" s="12" customFormat="1" ht="18" x14ac:dyDescent="0.35">
      <c r="A1" s="101" t="s">
        <v>1117</v>
      </c>
      <c r="B1" s="101"/>
      <c r="C1" s="101"/>
      <c r="D1" s="101"/>
      <c r="E1" s="101"/>
      <c r="F1" s="101"/>
      <c r="G1" s="101"/>
      <c r="H1" s="101"/>
      <c r="I1" s="101"/>
      <c r="J1" s="13" t="s">
        <v>884</v>
      </c>
      <c r="K1" s="12" t="s">
        <v>65</v>
      </c>
    </row>
    <row r="2" spans="1:14" x14ac:dyDescent="0.3">
      <c r="M2" s="9"/>
      <c r="N2" s="9"/>
    </row>
    <row r="3" spans="1:14" x14ac:dyDescent="0.3">
      <c r="A3" s="86" t="s">
        <v>792</v>
      </c>
      <c r="B3" s="87" t="s">
        <v>677</v>
      </c>
      <c r="C3" s="87" t="s">
        <v>793</v>
      </c>
      <c r="D3" s="88" t="s">
        <v>369</v>
      </c>
      <c r="E3" s="88"/>
      <c r="F3" s="88"/>
      <c r="G3" s="88"/>
      <c r="H3" s="89" t="s">
        <v>794</v>
      </c>
      <c r="I3" s="90">
        <v>431772</v>
      </c>
    </row>
    <row r="4" spans="1:14" x14ac:dyDescent="0.3">
      <c r="A4" s="92"/>
      <c r="B4" s="93" t="s">
        <v>795</v>
      </c>
      <c r="C4" s="93" t="s">
        <v>796</v>
      </c>
      <c r="D4" s="94" t="s">
        <v>797</v>
      </c>
      <c r="E4" s="94"/>
      <c r="F4" s="95"/>
      <c r="G4" s="95"/>
      <c r="H4" s="96">
        <v>431772</v>
      </c>
      <c r="I4" s="97">
        <v>431772</v>
      </c>
    </row>
    <row r="5" spans="1:14" x14ac:dyDescent="0.3">
      <c r="C5" s="2" t="s">
        <v>798</v>
      </c>
      <c r="D5" s="6" t="s">
        <v>799</v>
      </c>
      <c r="E5" s="6">
        <v>3</v>
      </c>
      <c r="F5" s="8">
        <v>2</v>
      </c>
      <c r="G5" s="8">
        <v>0</v>
      </c>
      <c r="H5" s="7" t="s">
        <v>800</v>
      </c>
      <c r="I5" s="91">
        <v>44253</v>
      </c>
    </row>
    <row r="6" spans="1:14" x14ac:dyDescent="0.3">
      <c r="A6" s="92"/>
      <c r="B6" s="93" t="s">
        <v>801</v>
      </c>
      <c r="C6" s="93" t="s">
        <v>802</v>
      </c>
      <c r="D6" s="94" t="s">
        <v>371</v>
      </c>
      <c r="E6" s="94"/>
      <c r="F6" s="95"/>
      <c r="G6" s="95"/>
      <c r="H6" s="96" t="s">
        <v>794</v>
      </c>
      <c r="I6" s="97">
        <v>431772</v>
      </c>
    </row>
    <row r="7" spans="1:14" x14ac:dyDescent="0.3">
      <c r="C7" s="2" t="s">
        <v>372</v>
      </c>
      <c r="D7" s="6" t="s">
        <v>373</v>
      </c>
      <c r="E7" s="6">
        <v>1</v>
      </c>
      <c r="F7" s="8">
        <v>0</v>
      </c>
      <c r="G7" s="8">
        <v>0</v>
      </c>
      <c r="H7" s="7" t="s">
        <v>885</v>
      </c>
      <c r="I7" s="91">
        <v>44377</v>
      </c>
    </row>
    <row r="8" spans="1:14" x14ac:dyDescent="0.3">
      <c r="C8" s="2" t="s">
        <v>374</v>
      </c>
      <c r="D8" s="6" t="s">
        <v>375</v>
      </c>
      <c r="E8" s="6">
        <v>1</v>
      </c>
      <c r="F8" s="8">
        <v>0</v>
      </c>
      <c r="G8" s="8">
        <v>0</v>
      </c>
      <c r="H8" s="7" t="s">
        <v>885</v>
      </c>
      <c r="I8" s="91">
        <v>44377</v>
      </c>
    </row>
    <row r="9" spans="1:14" x14ac:dyDescent="0.3">
      <c r="C9" s="2" t="s">
        <v>803</v>
      </c>
      <c r="D9" s="6" t="s">
        <v>804</v>
      </c>
      <c r="E9" s="6">
        <v>1</v>
      </c>
      <c r="F9" s="8">
        <v>0</v>
      </c>
      <c r="G9" s="8">
        <v>0</v>
      </c>
      <c r="H9" s="7" t="s">
        <v>886</v>
      </c>
      <c r="I9" s="91">
        <v>44270</v>
      </c>
    </row>
    <row r="10" spans="1:14" x14ac:dyDescent="0.3">
      <c r="C10" s="2" t="s">
        <v>805</v>
      </c>
      <c r="D10" s="6" t="s">
        <v>806</v>
      </c>
      <c r="E10" s="6">
        <v>1</v>
      </c>
      <c r="F10" s="8">
        <v>0</v>
      </c>
      <c r="G10" s="8">
        <v>0</v>
      </c>
      <c r="H10" s="7" t="s">
        <v>885</v>
      </c>
      <c r="I10" s="91">
        <v>44377</v>
      </c>
    </row>
    <row r="11" spans="1:14" x14ac:dyDescent="0.3">
      <c r="C11" s="2" t="s">
        <v>807</v>
      </c>
      <c r="D11" s="6" t="s">
        <v>808</v>
      </c>
      <c r="E11" s="6">
        <v>1</v>
      </c>
      <c r="F11" s="8">
        <v>0</v>
      </c>
      <c r="G11" s="8">
        <v>0</v>
      </c>
      <c r="H11" s="7" t="s">
        <v>885</v>
      </c>
      <c r="I11" s="91">
        <v>44377</v>
      </c>
    </row>
    <row r="12" spans="1:14" x14ac:dyDescent="0.3">
      <c r="A12" s="92"/>
      <c r="B12" s="93" t="s">
        <v>809</v>
      </c>
      <c r="C12" s="93" t="s">
        <v>376</v>
      </c>
      <c r="D12" s="94" t="s">
        <v>377</v>
      </c>
      <c r="E12" s="94"/>
      <c r="F12" s="95"/>
      <c r="G12" s="95"/>
      <c r="H12" s="96" t="s">
        <v>794</v>
      </c>
      <c r="I12" s="97">
        <v>431772</v>
      </c>
    </row>
    <row r="13" spans="1:14" x14ac:dyDescent="0.3">
      <c r="C13" s="2" t="s">
        <v>385</v>
      </c>
      <c r="D13" s="6" t="s">
        <v>386</v>
      </c>
      <c r="E13" s="6">
        <v>8</v>
      </c>
      <c r="F13" s="8">
        <v>0</v>
      </c>
      <c r="G13" s="8">
        <v>0</v>
      </c>
      <c r="I13" s="91"/>
    </row>
    <row r="14" spans="1:14" x14ac:dyDescent="0.3">
      <c r="C14" s="2" t="s">
        <v>853</v>
      </c>
      <c r="D14" s="6" t="s">
        <v>854</v>
      </c>
      <c r="E14" s="6">
        <v>2</v>
      </c>
      <c r="F14" s="8">
        <v>0</v>
      </c>
      <c r="G14" s="8">
        <v>1</v>
      </c>
      <c r="H14" s="7" t="s">
        <v>438</v>
      </c>
      <c r="I14" s="91">
        <v>1</v>
      </c>
    </row>
    <row r="15" spans="1:14" x14ac:dyDescent="0.3">
      <c r="C15" s="2" t="s">
        <v>387</v>
      </c>
      <c r="D15" s="6" t="s">
        <v>388</v>
      </c>
      <c r="E15" s="6">
        <v>6</v>
      </c>
      <c r="F15" s="8">
        <v>0</v>
      </c>
      <c r="G15" s="8">
        <v>0</v>
      </c>
      <c r="I15" s="91"/>
    </row>
    <row r="16" spans="1:14" x14ac:dyDescent="0.3">
      <c r="C16" s="2" t="s">
        <v>378</v>
      </c>
      <c r="D16" s="6" t="s">
        <v>379</v>
      </c>
      <c r="E16" s="6">
        <v>1</v>
      </c>
      <c r="F16" s="8">
        <v>0</v>
      </c>
      <c r="G16" s="8">
        <v>0</v>
      </c>
      <c r="H16" s="7" t="s">
        <v>380</v>
      </c>
      <c r="I16" s="91">
        <v>44370</v>
      </c>
    </row>
    <row r="17" spans="1:9" x14ac:dyDescent="0.3">
      <c r="C17" s="2" t="s">
        <v>381</v>
      </c>
      <c r="D17" s="6" t="s">
        <v>382</v>
      </c>
      <c r="E17" s="6">
        <v>1</v>
      </c>
      <c r="F17" s="8">
        <v>0</v>
      </c>
      <c r="G17" s="8">
        <v>0</v>
      </c>
      <c r="H17" s="7" t="s">
        <v>380</v>
      </c>
      <c r="I17" s="91">
        <v>44370</v>
      </c>
    </row>
    <row r="18" spans="1:9" x14ac:dyDescent="0.3">
      <c r="C18" s="2" t="s">
        <v>383</v>
      </c>
      <c r="D18" s="6" t="s">
        <v>384</v>
      </c>
      <c r="E18" s="6">
        <v>1</v>
      </c>
      <c r="F18" s="8">
        <v>0</v>
      </c>
      <c r="G18" s="8">
        <v>0</v>
      </c>
      <c r="H18" s="7" t="s">
        <v>380</v>
      </c>
      <c r="I18" s="91">
        <v>44370</v>
      </c>
    </row>
    <row r="19" spans="1:9" x14ac:dyDescent="0.3">
      <c r="A19" s="92"/>
      <c r="B19" s="93" t="s">
        <v>810</v>
      </c>
      <c r="C19" s="93" t="s">
        <v>811</v>
      </c>
      <c r="D19" s="94" t="s">
        <v>812</v>
      </c>
      <c r="E19" s="94"/>
      <c r="F19" s="95"/>
      <c r="G19" s="95"/>
      <c r="H19" s="96" t="s">
        <v>794</v>
      </c>
      <c r="I19" s="97">
        <v>431772</v>
      </c>
    </row>
    <row r="20" spans="1:9" x14ac:dyDescent="0.3">
      <c r="C20" s="2" t="s">
        <v>813</v>
      </c>
      <c r="D20" s="6" t="s">
        <v>814</v>
      </c>
      <c r="E20" s="6">
        <v>1</v>
      </c>
      <c r="F20" s="8">
        <v>0</v>
      </c>
      <c r="G20" s="8">
        <v>0</v>
      </c>
      <c r="H20" s="7" t="s">
        <v>815</v>
      </c>
      <c r="I20" s="91">
        <v>44351</v>
      </c>
    </row>
    <row r="21" spans="1:9" x14ac:dyDescent="0.3">
      <c r="C21" s="2" t="s">
        <v>816</v>
      </c>
      <c r="D21" s="6" t="s">
        <v>817</v>
      </c>
      <c r="E21" s="6">
        <v>2</v>
      </c>
      <c r="F21" s="8">
        <v>0</v>
      </c>
      <c r="G21" s="8">
        <v>0</v>
      </c>
      <c r="H21" s="7" t="s">
        <v>818</v>
      </c>
      <c r="I21" s="91">
        <v>44407</v>
      </c>
    </row>
    <row r="22" spans="1:9" x14ac:dyDescent="0.3">
      <c r="C22" s="2" t="s">
        <v>819</v>
      </c>
      <c r="D22" s="6" t="s">
        <v>820</v>
      </c>
      <c r="E22" s="6">
        <v>2</v>
      </c>
      <c r="F22" s="8">
        <v>0</v>
      </c>
      <c r="G22" s="8">
        <v>1</v>
      </c>
      <c r="H22" s="7" t="s">
        <v>821</v>
      </c>
      <c r="I22" s="91">
        <v>44351</v>
      </c>
    </row>
    <row r="23" spans="1:9" x14ac:dyDescent="0.3">
      <c r="C23" s="2" t="s">
        <v>855</v>
      </c>
      <c r="D23" s="6" t="s">
        <v>856</v>
      </c>
      <c r="E23" s="6">
        <v>1</v>
      </c>
      <c r="F23" s="8">
        <v>0</v>
      </c>
      <c r="G23" s="8">
        <v>0</v>
      </c>
      <c r="H23" s="7" t="s">
        <v>857</v>
      </c>
      <c r="I23" s="91">
        <v>44323</v>
      </c>
    </row>
    <row r="24" spans="1:9" x14ac:dyDescent="0.3">
      <c r="C24" s="2" t="s">
        <v>396</v>
      </c>
      <c r="D24" s="6" t="s">
        <v>397</v>
      </c>
      <c r="E24" s="6">
        <v>1</v>
      </c>
      <c r="F24" s="8">
        <v>0</v>
      </c>
      <c r="G24" s="8">
        <v>0</v>
      </c>
      <c r="H24" s="7" t="s">
        <v>403</v>
      </c>
      <c r="I24" s="91">
        <v>44375</v>
      </c>
    </row>
    <row r="25" spans="1:9" x14ac:dyDescent="0.3">
      <c r="C25" s="2" t="s">
        <v>398</v>
      </c>
      <c r="D25" s="6" t="s">
        <v>399</v>
      </c>
      <c r="E25" s="6">
        <v>3</v>
      </c>
      <c r="F25" s="8">
        <v>0</v>
      </c>
      <c r="G25" s="8">
        <v>0</v>
      </c>
      <c r="H25" s="7" t="s">
        <v>404</v>
      </c>
      <c r="I25" s="91">
        <v>44358</v>
      </c>
    </row>
    <row r="26" spans="1:9" x14ac:dyDescent="0.3">
      <c r="A26" s="92"/>
      <c r="B26" s="93" t="s">
        <v>822</v>
      </c>
      <c r="C26" s="93" t="s">
        <v>391</v>
      </c>
      <c r="D26" s="94" t="s">
        <v>392</v>
      </c>
      <c r="E26" s="94"/>
      <c r="F26" s="95"/>
      <c r="G26" s="95"/>
      <c r="H26" s="96" t="s">
        <v>794</v>
      </c>
      <c r="I26" s="97">
        <v>431772</v>
      </c>
    </row>
    <row r="27" spans="1:9" x14ac:dyDescent="0.3">
      <c r="C27" s="2" t="s">
        <v>823</v>
      </c>
      <c r="D27" s="6" t="s">
        <v>824</v>
      </c>
      <c r="E27" s="6">
        <v>1</v>
      </c>
      <c r="F27" s="8">
        <v>0</v>
      </c>
      <c r="G27" s="8">
        <v>0</v>
      </c>
      <c r="H27" s="7" t="s">
        <v>825</v>
      </c>
      <c r="I27" s="91">
        <v>44357</v>
      </c>
    </row>
    <row r="28" spans="1:9" x14ac:dyDescent="0.3">
      <c r="A28" s="86" t="s">
        <v>368</v>
      </c>
      <c r="B28" s="87" t="s">
        <v>393</v>
      </c>
      <c r="C28" s="87" t="s">
        <v>394</v>
      </c>
      <c r="D28" s="88" t="s">
        <v>395</v>
      </c>
      <c r="E28" s="88"/>
      <c r="F28" s="88"/>
      <c r="G28" s="88"/>
      <c r="H28" s="89" t="s">
        <v>370</v>
      </c>
      <c r="I28" s="90">
        <v>431774</v>
      </c>
    </row>
    <row r="29" spans="1:9" x14ac:dyDescent="0.3">
      <c r="C29" s="2" t="s">
        <v>855</v>
      </c>
      <c r="D29" s="6" t="s">
        <v>856</v>
      </c>
      <c r="E29" s="6">
        <v>1</v>
      </c>
      <c r="F29" s="8">
        <v>0</v>
      </c>
      <c r="G29" s="8">
        <v>0</v>
      </c>
      <c r="H29" s="7" t="s">
        <v>857</v>
      </c>
      <c r="I29" s="91">
        <v>44323</v>
      </c>
    </row>
    <row r="30" spans="1:9" x14ac:dyDescent="0.3">
      <c r="C30" s="2" t="s">
        <v>396</v>
      </c>
      <c r="D30" s="6" t="s">
        <v>397</v>
      </c>
      <c r="E30" s="6">
        <v>1</v>
      </c>
      <c r="F30" s="8">
        <v>0</v>
      </c>
      <c r="G30" s="8">
        <v>0</v>
      </c>
      <c r="H30" s="7" t="s">
        <v>403</v>
      </c>
      <c r="I30" s="91">
        <v>44375</v>
      </c>
    </row>
    <row r="31" spans="1:9" x14ac:dyDescent="0.3">
      <c r="C31" s="2" t="s">
        <v>398</v>
      </c>
      <c r="D31" s="6" t="s">
        <v>399</v>
      </c>
      <c r="E31" s="6">
        <v>3</v>
      </c>
      <c r="F31" s="8">
        <v>0</v>
      </c>
      <c r="G31" s="8">
        <v>0</v>
      </c>
      <c r="H31" s="7" t="s">
        <v>404</v>
      </c>
      <c r="I31" s="91">
        <v>44358</v>
      </c>
    </row>
    <row r="32" spans="1:9" x14ac:dyDescent="0.3">
      <c r="A32" s="92"/>
      <c r="B32" s="93" t="s">
        <v>840</v>
      </c>
      <c r="C32" s="93" t="s">
        <v>858</v>
      </c>
      <c r="D32" s="94" t="s">
        <v>859</v>
      </c>
      <c r="E32" s="94"/>
      <c r="F32" s="95"/>
      <c r="G32" s="95"/>
      <c r="H32" s="96" t="s">
        <v>370</v>
      </c>
      <c r="I32" s="97">
        <v>431774</v>
      </c>
    </row>
    <row r="33" spans="1:9" x14ac:dyDescent="0.3">
      <c r="C33" s="2" t="s">
        <v>378</v>
      </c>
      <c r="D33" s="6" t="s">
        <v>379</v>
      </c>
      <c r="E33" s="6">
        <v>1</v>
      </c>
      <c r="F33" s="8">
        <v>0</v>
      </c>
      <c r="G33" s="8">
        <v>0</v>
      </c>
      <c r="H33" s="7" t="s">
        <v>380</v>
      </c>
      <c r="I33" s="91">
        <v>44370</v>
      </c>
    </row>
    <row r="34" spans="1:9" x14ac:dyDescent="0.3">
      <c r="C34" s="2" t="s">
        <v>381</v>
      </c>
      <c r="D34" s="6" t="s">
        <v>382</v>
      </c>
      <c r="E34" s="6">
        <v>1</v>
      </c>
      <c r="F34" s="8">
        <v>0</v>
      </c>
      <c r="G34" s="8">
        <v>0</v>
      </c>
      <c r="H34" s="7" t="s">
        <v>380</v>
      </c>
      <c r="I34" s="91">
        <v>44370</v>
      </c>
    </row>
    <row r="35" spans="1:9" x14ac:dyDescent="0.3">
      <c r="C35" s="2" t="s">
        <v>383</v>
      </c>
      <c r="D35" s="6" t="s">
        <v>384</v>
      </c>
      <c r="E35" s="6">
        <v>1</v>
      </c>
      <c r="F35" s="8">
        <v>0</v>
      </c>
      <c r="G35" s="8">
        <v>0</v>
      </c>
      <c r="H35" s="7" t="s">
        <v>380</v>
      </c>
      <c r="I35" s="91">
        <v>44370</v>
      </c>
    </row>
    <row r="36" spans="1:9" x14ac:dyDescent="0.3">
      <c r="A36" s="92"/>
      <c r="B36" s="93" t="s">
        <v>860</v>
      </c>
      <c r="C36" s="93" t="s">
        <v>391</v>
      </c>
      <c r="D36" s="94" t="s">
        <v>392</v>
      </c>
      <c r="E36" s="94"/>
      <c r="F36" s="95"/>
      <c r="G36" s="95"/>
      <c r="H36" s="96" t="s">
        <v>370</v>
      </c>
      <c r="I36" s="97">
        <v>431774</v>
      </c>
    </row>
    <row r="37" spans="1:9" x14ac:dyDescent="0.3">
      <c r="C37" s="2" t="s">
        <v>823</v>
      </c>
      <c r="D37" s="6" t="s">
        <v>824</v>
      </c>
      <c r="E37" s="6">
        <v>1</v>
      </c>
      <c r="F37" s="8">
        <v>0</v>
      </c>
      <c r="G37" s="8">
        <v>0</v>
      </c>
      <c r="H37" s="7" t="s">
        <v>825</v>
      </c>
      <c r="I37" s="91">
        <v>44357</v>
      </c>
    </row>
    <row r="38" spans="1:9" x14ac:dyDescent="0.3">
      <c r="A38" s="86" t="s">
        <v>826</v>
      </c>
      <c r="B38" s="87" t="s">
        <v>689</v>
      </c>
      <c r="C38" s="87" t="s">
        <v>827</v>
      </c>
      <c r="D38" s="88" t="s">
        <v>369</v>
      </c>
      <c r="E38" s="88"/>
      <c r="F38" s="88"/>
      <c r="G38" s="88"/>
      <c r="H38" s="89" t="s">
        <v>828</v>
      </c>
      <c r="I38" s="90">
        <v>431775</v>
      </c>
    </row>
    <row r="39" spans="1:9" x14ac:dyDescent="0.3">
      <c r="A39" s="92"/>
      <c r="B39" s="93" t="s">
        <v>829</v>
      </c>
      <c r="C39" s="93" t="s">
        <v>376</v>
      </c>
      <c r="D39" s="94" t="s">
        <v>377</v>
      </c>
      <c r="E39" s="94"/>
      <c r="F39" s="95"/>
      <c r="G39" s="95"/>
      <c r="H39" s="96" t="s">
        <v>828</v>
      </c>
      <c r="I39" s="97">
        <v>431775</v>
      </c>
    </row>
    <row r="40" spans="1:9" x14ac:dyDescent="0.3">
      <c r="C40" s="2" t="s">
        <v>387</v>
      </c>
      <c r="D40" s="6" t="s">
        <v>388</v>
      </c>
      <c r="E40" s="6">
        <v>6</v>
      </c>
      <c r="F40" s="8">
        <v>0</v>
      </c>
      <c r="G40" s="8">
        <v>0</v>
      </c>
      <c r="I40" s="91"/>
    </row>
    <row r="41" spans="1:9" x14ac:dyDescent="0.3">
      <c r="C41" s="2" t="s">
        <v>378</v>
      </c>
      <c r="D41" s="6" t="s">
        <v>379</v>
      </c>
      <c r="E41" s="6">
        <v>1</v>
      </c>
      <c r="F41" s="8">
        <v>0</v>
      </c>
      <c r="G41" s="8">
        <v>0</v>
      </c>
      <c r="H41" s="7" t="s">
        <v>380</v>
      </c>
      <c r="I41" s="91">
        <v>44370</v>
      </c>
    </row>
    <row r="42" spans="1:9" x14ac:dyDescent="0.3">
      <c r="C42" s="2" t="s">
        <v>381</v>
      </c>
      <c r="D42" s="6" t="s">
        <v>382</v>
      </c>
      <c r="E42" s="6">
        <v>1</v>
      </c>
      <c r="F42" s="8">
        <v>0</v>
      </c>
      <c r="G42" s="8">
        <v>0</v>
      </c>
      <c r="H42" s="7" t="s">
        <v>380</v>
      </c>
      <c r="I42" s="91">
        <v>44370</v>
      </c>
    </row>
    <row r="43" spans="1:9" x14ac:dyDescent="0.3">
      <c r="C43" s="2" t="s">
        <v>383</v>
      </c>
      <c r="D43" s="6" t="s">
        <v>384</v>
      </c>
      <c r="E43" s="6">
        <v>1</v>
      </c>
      <c r="F43" s="8">
        <v>0</v>
      </c>
      <c r="G43" s="8">
        <v>0</v>
      </c>
      <c r="H43" s="7" t="s">
        <v>380</v>
      </c>
      <c r="I43" s="91">
        <v>44370</v>
      </c>
    </row>
    <row r="44" spans="1:9" x14ac:dyDescent="0.3">
      <c r="A44" s="92"/>
      <c r="B44" s="93" t="s">
        <v>830</v>
      </c>
      <c r="C44" s="93" t="s">
        <v>391</v>
      </c>
      <c r="D44" s="94" t="s">
        <v>392</v>
      </c>
      <c r="E44" s="94"/>
      <c r="F44" s="95"/>
      <c r="G44" s="95"/>
      <c r="H44" s="96" t="s">
        <v>828</v>
      </c>
      <c r="I44" s="97">
        <v>431775</v>
      </c>
    </row>
    <row r="45" spans="1:9" x14ac:dyDescent="0.3">
      <c r="C45" s="2" t="s">
        <v>823</v>
      </c>
      <c r="D45" s="6" t="s">
        <v>824</v>
      </c>
      <c r="E45" s="6">
        <v>1</v>
      </c>
      <c r="F45" s="8">
        <v>0</v>
      </c>
      <c r="G45" s="8">
        <v>0</v>
      </c>
      <c r="H45" s="7" t="s">
        <v>825</v>
      </c>
      <c r="I45" s="91">
        <v>44357</v>
      </c>
    </row>
    <row r="46" spans="1:9" x14ac:dyDescent="0.3">
      <c r="A46" s="92"/>
      <c r="B46" s="93" t="s">
        <v>831</v>
      </c>
      <c r="C46" s="93" t="s">
        <v>832</v>
      </c>
      <c r="D46" s="94" t="s">
        <v>395</v>
      </c>
      <c r="E46" s="94"/>
      <c r="F46" s="95"/>
      <c r="G46" s="95"/>
      <c r="H46" s="96" t="s">
        <v>828</v>
      </c>
      <c r="I46" s="97">
        <v>431775</v>
      </c>
    </row>
    <row r="47" spans="1:9" x14ac:dyDescent="0.3">
      <c r="C47" s="2" t="s">
        <v>855</v>
      </c>
      <c r="D47" s="6" t="s">
        <v>856</v>
      </c>
      <c r="E47" s="6">
        <v>1</v>
      </c>
      <c r="F47" s="8">
        <v>0</v>
      </c>
      <c r="G47" s="8">
        <v>0</v>
      </c>
      <c r="H47" s="7" t="s">
        <v>857</v>
      </c>
      <c r="I47" s="91">
        <v>44323</v>
      </c>
    </row>
    <row r="48" spans="1:9" x14ac:dyDescent="0.3">
      <c r="C48" s="2" t="s">
        <v>396</v>
      </c>
      <c r="D48" s="6" t="s">
        <v>397</v>
      </c>
      <c r="E48" s="6">
        <v>1</v>
      </c>
      <c r="F48" s="8">
        <v>0</v>
      </c>
      <c r="G48" s="8">
        <v>0</v>
      </c>
      <c r="H48" s="7" t="s">
        <v>403</v>
      </c>
      <c r="I48" s="91">
        <v>44375</v>
      </c>
    </row>
    <row r="49" spans="1:9" x14ac:dyDescent="0.3">
      <c r="C49" s="2" t="s">
        <v>398</v>
      </c>
      <c r="D49" s="6" t="s">
        <v>399</v>
      </c>
      <c r="E49" s="6">
        <v>3</v>
      </c>
      <c r="F49" s="8">
        <v>0</v>
      </c>
      <c r="G49" s="8">
        <v>0</v>
      </c>
      <c r="H49" s="7" t="s">
        <v>404</v>
      </c>
      <c r="I49" s="91">
        <v>44358</v>
      </c>
    </row>
    <row r="50" spans="1:9" x14ac:dyDescent="0.3">
      <c r="A50" s="92"/>
      <c r="B50" s="93" t="s">
        <v>887</v>
      </c>
      <c r="C50" s="93" t="s">
        <v>391</v>
      </c>
      <c r="D50" s="94" t="s">
        <v>392</v>
      </c>
      <c r="E50" s="94"/>
      <c r="F50" s="95"/>
      <c r="G50" s="95"/>
      <c r="H50" s="96" t="s">
        <v>828</v>
      </c>
      <c r="I50" s="97">
        <v>431775</v>
      </c>
    </row>
    <row r="51" spans="1:9" x14ac:dyDescent="0.3">
      <c r="C51" s="2" t="s">
        <v>888</v>
      </c>
      <c r="D51" s="6" t="s">
        <v>889</v>
      </c>
      <c r="E51" s="6">
        <v>6</v>
      </c>
      <c r="F51" s="8">
        <v>0</v>
      </c>
      <c r="G51" s="8">
        <v>0</v>
      </c>
      <c r="H51" s="7" t="s">
        <v>890</v>
      </c>
      <c r="I51" s="91">
        <v>44351</v>
      </c>
    </row>
    <row r="52" spans="1:9" x14ac:dyDescent="0.3">
      <c r="C52" s="2" t="s">
        <v>823</v>
      </c>
      <c r="D52" s="6" t="s">
        <v>824</v>
      </c>
      <c r="E52" s="6">
        <v>1</v>
      </c>
      <c r="F52" s="8">
        <v>0</v>
      </c>
      <c r="G52" s="8">
        <v>0</v>
      </c>
      <c r="H52" s="7" t="s">
        <v>825</v>
      </c>
      <c r="I52" s="91">
        <v>44357</v>
      </c>
    </row>
    <row r="53" spans="1:9" x14ac:dyDescent="0.3">
      <c r="A53" s="86" t="s">
        <v>419</v>
      </c>
      <c r="B53" s="87" t="s">
        <v>406</v>
      </c>
      <c r="C53" s="87" t="s">
        <v>420</v>
      </c>
      <c r="D53" s="88" t="s">
        <v>421</v>
      </c>
      <c r="E53" s="88"/>
      <c r="F53" s="88"/>
      <c r="G53" s="88"/>
      <c r="H53" s="89" t="s">
        <v>422</v>
      </c>
      <c r="I53" s="90">
        <v>449022</v>
      </c>
    </row>
    <row r="54" spans="1:9" x14ac:dyDescent="0.3">
      <c r="C54" s="2" t="s">
        <v>891</v>
      </c>
      <c r="D54" s="6" t="s">
        <v>892</v>
      </c>
      <c r="E54" s="6">
        <v>2</v>
      </c>
      <c r="F54" s="8">
        <v>0</v>
      </c>
      <c r="G54" s="8">
        <v>0</v>
      </c>
      <c r="H54" s="7" t="s">
        <v>893</v>
      </c>
      <c r="I54" s="91"/>
    </row>
    <row r="55" spans="1:9" x14ac:dyDescent="0.3">
      <c r="C55" s="2" t="s">
        <v>396</v>
      </c>
      <c r="D55" s="6" t="s">
        <v>397</v>
      </c>
      <c r="E55" s="6">
        <v>1</v>
      </c>
      <c r="F55" s="8">
        <v>0</v>
      </c>
      <c r="G55" s="8">
        <v>0</v>
      </c>
      <c r="H55" s="7" t="s">
        <v>403</v>
      </c>
      <c r="I55" s="91">
        <v>44375</v>
      </c>
    </row>
    <row r="56" spans="1:9" x14ac:dyDescent="0.3">
      <c r="C56" s="2" t="s">
        <v>894</v>
      </c>
      <c r="D56" s="6" t="s">
        <v>895</v>
      </c>
      <c r="E56" s="6">
        <v>2</v>
      </c>
      <c r="F56" s="8">
        <v>0</v>
      </c>
      <c r="G56" s="8">
        <v>0</v>
      </c>
      <c r="H56" s="7" t="s">
        <v>896</v>
      </c>
      <c r="I56" s="91">
        <v>44377</v>
      </c>
    </row>
    <row r="57" spans="1:9" x14ac:dyDescent="0.3">
      <c r="A57" s="92"/>
      <c r="B57" s="93" t="s">
        <v>423</v>
      </c>
      <c r="C57" s="93" t="s">
        <v>424</v>
      </c>
      <c r="D57" s="94" t="s">
        <v>425</v>
      </c>
      <c r="E57" s="94"/>
      <c r="F57" s="95"/>
      <c r="G57" s="95"/>
      <c r="H57" s="96" t="s">
        <v>422</v>
      </c>
      <c r="I57" s="97">
        <v>449022</v>
      </c>
    </row>
    <row r="58" spans="1:9" x14ac:dyDescent="0.3">
      <c r="C58" s="2" t="s">
        <v>426</v>
      </c>
      <c r="D58" s="6" t="s">
        <v>427</v>
      </c>
      <c r="E58" s="6">
        <v>4</v>
      </c>
      <c r="F58" s="8">
        <v>0</v>
      </c>
      <c r="G58" s="8">
        <v>0</v>
      </c>
      <c r="I58" s="91"/>
    </row>
    <row r="59" spans="1:9" x14ac:dyDescent="0.3">
      <c r="C59" s="2" t="s">
        <v>428</v>
      </c>
      <c r="D59" s="6" t="s">
        <v>429</v>
      </c>
      <c r="E59" s="6">
        <v>1</v>
      </c>
      <c r="F59" s="8">
        <v>0</v>
      </c>
      <c r="G59" s="8">
        <v>0</v>
      </c>
      <c r="H59" s="7" t="s">
        <v>430</v>
      </c>
      <c r="I59" s="91">
        <v>44552</v>
      </c>
    </row>
    <row r="60" spans="1:9" x14ac:dyDescent="0.3">
      <c r="A60" s="92"/>
      <c r="B60" s="93" t="s">
        <v>431</v>
      </c>
      <c r="C60" s="93" t="s">
        <v>432</v>
      </c>
      <c r="D60" s="94" t="s">
        <v>433</v>
      </c>
      <c r="E60" s="94"/>
      <c r="F60" s="95"/>
      <c r="G60" s="95"/>
      <c r="H60" s="96" t="s">
        <v>422</v>
      </c>
      <c r="I60" s="97">
        <v>449022</v>
      </c>
    </row>
    <row r="61" spans="1:9" x14ac:dyDescent="0.3">
      <c r="C61" s="2" t="s">
        <v>434</v>
      </c>
      <c r="D61" s="6" t="s">
        <v>435</v>
      </c>
      <c r="E61" s="6">
        <v>3</v>
      </c>
      <c r="F61" s="8">
        <v>0</v>
      </c>
      <c r="G61" s="8">
        <v>0</v>
      </c>
      <c r="I61" s="91"/>
    </row>
    <row r="62" spans="1:9" x14ac:dyDescent="0.3">
      <c r="C62" s="2" t="s">
        <v>436</v>
      </c>
      <c r="D62" s="6" t="s">
        <v>437</v>
      </c>
      <c r="E62" s="6">
        <v>3</v>
      </c>
      <c r="F62" s="8">
        <v>0</v>
      </c>
      <c r="G62" s="8">
        <v>2</v>
      </c>
      <c r="H62" s="7" t="s">
        <v>438</v>
      </c>
      <c r="I62" s="91">
        <v>2</v>
      </c>
    </row>
    <row r="63" spans="1:9" x14ac:dyDescent="0.3">
      <c r="C63" s="2" t="s">
        <v>439</v>
      </c>
      <c r="D63" s="6" t="s">
        <v>440</v>
      </c>
      <c r="E63" s="6">
        <v>3</v>
      </c>
      <c r="F63" s="8">
        <v>0</v>
      </c>
      <c r="G63" s="8">
        <v>0</v>
      </c>
      <c r="I63" s="91"/>
    </row>
    <row r="64" spans="1:9" x14ac:dyDescent="0.3">
      <c r="C64" s="2" t="s">
        <v>441</v>
      </c>
      <c r="D64" s="6" t="s">
        <v>442</v>
      </c>
      <c r="E64" s="6">
        <v>1</v>
      </c>
      <c r="F64" s="8">
        <v>0</v>
      </c>
      <c r="G64" s="8">
        <v>0</v>
      </c>
      <c r="I64" s="91"/>
    </row>
    <row r="65" spans="1:9" x14ac:dyDescent="0.3">
      <c r="A65" s="92"/>
      <c r="B65" s="93" t="s">
        <v>443</v>
      </c>
      <c r="C65" s="93" t="s">
        <v>444</v>
      </c>
      <c r="D65" s="94" t="s">
        <v>445</v>
      </c>
      <c r="E65" s="94"/>
      <c r="F65" s="95"/>
      <c r="G65" s="95"/>
      <c r="H65" s="96" t="s">
        <v>422</v>
      </c>
      <c r="I65" s="97">
        <v>449022</v>
      </c>
    </row>
    <row r="66" spans="1:9" x14ac:dyDescent="0.3">
      <c r="C66" s="2" t="s">
        <v>446</v>
      </c>
      <c r="D66" s="6" t="s">
        <v>447</v>
      </c>
      <c r="E66" s="6">
        <v>6</v>
      </c>
      <c r="F66" s="8">
        <v>0</v>
      </c>
      <c r="G66" s="8">
        <v>0</v>
      </c>
      <c r="I66" s="91"/>
    </row>
    <row r="67" spans="1:9" x14ac:dyDescent="0.3">
      <c r="C67" s="2" t="s">
        <v>448</v>
      </c>
      <c r="D67" s="6" t="s">
        <v>449</v>
      </c>
      <c r="E67" s="6">
        <v>4</v>
      </c>
      <c r="F67" s="8">
        <v>0</v>
      </c>
      <c r="G67" s="8">
        <v>0</v>
      </c>
      <c r="I67" s="91"/>
    </row>
    <row r="68" spans="1:9" x14ac:dyDescent="0.3">
      <c r="C68" s="2" t="s">
        <v>450</v>
      </c>
      <c r="D68" s="6" t="s">
        <v>451</v>
      </c>
      <c r="E68" s="6">
        <v>6</v>
      </c>
      <c r="F68" s="8">
        <v>0</v>
      </c>
      <c r="G68" s="8">
        <v>0</v>
      </c>
      <c r="I68" s="91"/>
    </row>
    <row r="69" spans="1:9" x14ac:dyDescent="0.3">
      <c r="A69" s="92"/>
      <c r="B69" s="93" t="s">
        <v>452</v>
      </c>
      <c r="C69" s="93" t="s">
        <v>453</v>
      </c>
      <c r="D69" s="94" t="s">
        <v>454</v>
      </c>
      <c r="E69" s="94"/>
      <c r="F69" s="95"/>
      <c r="G69" s="95"/>
      <c r="H69" s="96" t="s">
        <v>422</v>
      </c>
      <c r="I69" s="97">
        <v>449022</v>
      </c>
    </row>
    <row r="70" spans="1:9" x14ac:dyDescent="0.3">
      <c r="C70" s="2" t="s">
        <v>455</v>
      </c>
      <c r="D70" s="6" t="s">
        <v>456</v>
      </c>
      <c r="E70" s="6">
        <v>1</v>
      </c>
      <c r="F70" s="8">
        <v>0</v>
      </c>
      <c r="G70" s="8">
        <v>0</v>
      </c>
      <c r="H70" s="7" t="s">
        <v>457</v>
      </c>
      <c r="I70" s="91">
        <v>44337</v>
      </c>
    </row>
    <row r="71" spans="1:9" x14ac:dyDescent="0.3">
      <c r="A71" s="92"/>
      <c r="B71" s="93" t="s">
        <v>897</v>
      </c>
      <c r="C71" s="93" t="s">
        <v>898</v>
      </c>
      <c r="D71" s="94" t="s">
        <v>899</v>
      </c>
      <c r="E71" s="94"/>
      <c r="F71" s="95"/>
      <c r="G71" s="95"/>
      <c r="H71" s="96" t="s">
        <v>422</v>
      </c>
      <c r="I71" s="97">
        <v>449022</v>
      </c>
    </row>
    <row r="72" spans="1:9" x14ac:dyDescent="0.3">
      <c r="C72" s="2" t="s">
        <v>900</v>
      </c>
      <c r="D72" s="6" t="s">
        <v>901</v>
      </c>
      <c r="E72" s="6">
        <v>6</v>
      </c>
      <c r="F72" s="8">
        <v>0</v>
      </c>
      <c r="G72" s="8">
        <v>5</v>
      </c>
      <c r="H72" s="7" t="s">
        <v>902</v>
      </c>
      <c r="I72" s="91">
        <v>44377</v>
      </c>
    </row>
    <row r="73" spans="1:9" x14ac:dyDescent="0.3">
      <c r="A73" s="92"/>
      <c r="B73" s="93" t="s">
        <v>458</v>
      </c>
      <c r="C73" s="93" t="s">
        <v>459</v>
      </c>
      <c r="D73" s="94" t="s">
        <v>460</v>
      </c>
      <c r="E73" s="94"/>
      <c r="F73" s="95"/>
      <c r="G73" s="95"/>
      <c r="H73" s="96" t="s">
        <v>422</v>
      </c>
      <c r="I73" s="97">
        <v>449022</v>
      </c>
    </row>
    <row r="74" spans="1:9" x14ac:dyDescent="0.3">
      <c r="C74" s="2" t="s">
        <v>385</v>
      </c>
      <c r="D74" s="6" t="s">
        <v>386</v>
      </c>
      <c r="E74" s="6">
        <v>4</v>
      </c>
      <c r="F74" s="8">
        <v>0</v>
      </c>
      <c r="G74" s="8">
        <v>0</v>
      </c>
      <c r="I74" s="91"/>
    </row>
    <row r="75" spans="1:9" x14ac:dyDescent="0.3">
      <c r="C75" s="2" t="s">
        <v>434</v>
      </c>
      <c r="D75" s="6" t="s">
        <v>435</v>
      </c>
      <c r="E75" s="6">
        <v>6</v>
      </c>
      <c r="F75" s="8">
        <v>0</v>
      </c>
      <c r="G75" s="8">
        <v>0</v>
      </c>
      <c r="I75" s="91"/>
    </row>
    <row r="76" spans="1:9" x14ac:dyDescent="0.3">
      <c r="C76" s="2" t="s">
        <v>461</v>
      </c>
      <c r="D76" s="6" t="s">
        <v>462</v>
      </c>
      <c r="E76" s="6">
        <v>1</v>
      </c>
      <c r="F76" s="8">
        <v>0</v>
      </c>
      <c r="G76" s="8">
        <v>0</v>
      </c>
      <c r="I76" s="91"/>
    </row>
    <row r="77" spans="1:9" x14ac:dyDescent="0.3">
      <c r="C77" s="2" t="s">
        <v>463</v>
      </c>
      <c r="D77" s="6" t="s">
        <v>464</v>
      </c>
      <c r="E77" s="6">
        <v>1</v>
      </c>
      <c r="F77" s="8">
        <v>0</v>
      </c>
      <c r="G77" s="8">
        <v>0</v>
      </c>
      <c r="I77" s="91"/>
    </row>
    <row r="78" spans="1:9" x14ac:dyDescent="0.3">
      <c r="C78" s="2" t="s">
        <v>465</v>
      </c>
      <c r="D78" s="6" t="s">
        <v>466</v>
      </c>
      <c r="E78" s="6">
        <v>1</v>
      </c>
      <c r="F78" s="8">
        <v>0</v>
      </c>
      <c r="G78" s="8">
        <v>0</v>
      </c>
      <c r="I78" s="91"/>
    </row>
    <row r="79" spans="1:9" x14ac:dyDescent="0.3">
      <c r="C79" s="2" t="s">
        <v>467</v>
      </c>
      <c r="D79" s="6" t="s">
        <v>468</v>
      </c>
      <c r="E79" s="6">
        <v>1</v>
      </c>
      <c r="F79" s="8">
        <v>0</v>
      </c>
      <c r="G79" s="8">
        <v>0</v>
      </c>
      <c r="I79" s="91"/>
    </row>
    <row r="80" spans="1:9" x14ac:dyDescent="0.3">
      <c r="C80" s="2" t="s">
        <v>439</v>
      </c>
      <c r="D80" s="6" t="s">
        <v>440</v>
      </c>
      <c r="E80" s="6">
        <v>6</v>
      </c>
      <c r="F80" s="8">
        <v>0</v>
      </c>
      <c r="G80" s="8">
        <v>0</v>
      </c>
      <c r="I80" s="91"/>
    </row>
    <row r="81" spans="1:9" x14ac:dyDescent="0.3">
      <c r="A81" s="92"/>
      <c r="B81" s="93" t="s">
        <v>469</v>
      </c>
      <c r="C81" s="93" t="s">
        <v>470</v>
      </c>
      <c r="D81" s="94" t="s">
        <v>471</v>
      </c>
      <c r="E81" s="94"/>
      <c r="F81" s="95"/>
      <c r="G81" s="95"/>
      <c r="H81" s="96" t="s">
        <v>422</v>
      </c>
      <c r="I81" s="97">
        <v>449022</v>
      </c>
    </row>
    <row r="82" spans="1:9" x14ac:dyDescent="0.3">
      <c r="C82" s="2" t="s">
        <v>472</v>
      </c>
      <c r="D82" s="6" t="s">
        <v>473</v>
      </c>
      <c r="E82" s="6">
        <v>12</v>
      </c>
      <c r="F82" s="8">
        <v>0</v>
      </c>
      <c r="G82" s="8">
        <v>0</v>
      </c>
      <c r="I82" s="91"/>
    </row>
    <row r="83" spans="1:9" x14ac:dyDescent="0.3">
      <c r="C83" s="2" t="s">
        <v>474</v>
      </c>
      <c r="D83" s="6" t="s">
        <v>475</v>
      </c>
      <c r="E83" s="6">
        <v>3</v>
      </c>
      <c r="F83" s="8">
        <v>0</v>
      </c>
      <c r="G83" s="8">
        <v>1</v>
      </c>
      <c r="H83" s="7" t="s">
        <v>476</v>
      </c>
      <c r="I83" s="91">
        <v>44365</v>
      </c>
    </row>
    <row r="84" spans="1:9" x14ac:dyDescent="0.3">
      <c r="A84" s="92"/>
      <c r="B84" s="93" t="s">
        <v>477</v>
      </c>
      <c r="C84" s="93" t="s">
        <v>478</v>
      </c>
      <c r="D84" s="94" t="s">
        <v>479</v>
      </c>
      <c r="E84" s="94"/>
      <c r="F84" s="95"/>
      <c r="G84" s="95"/>
      <c r="H84" s="96" t="s">
        <v>422</v>
      </c>
      <c r="I84" s="97">
        <v>449022</v>
      </c>
    </row>
    <row r="85" spans="1:9" x14ac:dyDescent="0.3">
      <c r="C85" s="2" t="s">
        <v>903</v>
      </c>
      <c r="D85" s="6" t="s">
        <v>904</v>
      </c>
      <c r="E85" s="6">
        <v>6</v>
      </c>
      <c r="F85" s="8">
        <v>0</v>
      </c>
      <c r="G85" s="8">
        <v>0</v>
      </c>
      <c r="H85" s="7" t="s">
        <v>905</v>
      </c>
      <c r="I85" s="91">
        <v>44351</v>
      </c>
    </row>
    <row r="86" spans="1:9" x14ac:dyDescent="0.3">
      <c r="C86" s="2" t="s">
        <v>480</v>
      </c>
      <c r="D86" s="6" t="s">
        <v>481</v>
      </c>
      <c r="E86" s="6">
        <v>6</v>
      </c>
      <c r="F86" s="8">
        <v>0</v>
      </c>
      <c r="G86" s="8">
        <v>0</v>
      </c>
      <c r="H86" s="7" t="s">
        <v>906</v>
      </c>
      <c r="I86" s="91">
        <v>44356</v>
      </c>
    </row>
    <row r="87" spans="1:9" x14ac:dyDescent="0.3">
      <c r="A87" s="92"/>
      <c r="B87" s="93" t="s">
        <v>907</v>
      </c>
      <c r="C87" s="93" t="s">
        <v>908</v>
      </c>
      <c r="D87" s="94" t="s">
        <v>909</v>
      </c>
      <c r="E87" s="94"/>
      <c r="F87" s="95"/>
      <c r="G87" s="95"/>
      <c r="H87" s="96" t="s">
        <v>422</v>
      </c>
      <c r="I87" s="97">
        <v>449022</v>
      </c>
    </row>
    <row r="88" spans="1:9" x14ac:dyDescent="0.3">
      <c r="C88" s="2" t="s">
        <v>910</v>
      </c>
      <c r="D88" s="6" t="s">
        <v>911</v>
      </c>
      <c r="E88" s="6">
        <v>1</v>
      </c>
      <c r="F88" s="8">
        <v>0</v>
      </c>
      <c r="G88" s="8">
        <v>0</v>
      </c>
      <c r="H88" s="7" t="s">
        <v>912</v>
      </c>
      <c r="I88" s="91">
        <v>44363</v>
      </c>
    </row>
    <row r="89" spans="1:9" x14ac:dyDescent="0.3">
      <c r="C89" s="2" t="s">
        <v>913</v>
      </c>
      <c r="D89" s="6" t="s">
        <v>914</v>
      </c>
      <c r="E89" s="6">
        <v>80</v>
      </c>
      <c r="F89" s="8">
        <v>0</v>
      </c>
      <c r="G89" s="8">
        <v>5</v>
      </c>
      <c r="H89" s="7" t="s">
        <v>915</v>
      </c>
      <c r="I89" s="91">
        <v>5</v>
      </c>
    </row>
    <row r="90" spans="1:9" x14ac:dyDescent="0.3">
      <c r="C90" s="2" t="s">
        <v>916</v>
      </c>
      <c r="D90" s="6" t="s">
        <v>917</v>
      </c>
      <c r="E90" s="6">
        <v>2</v>
      </c>
      <c r="F90" s="8">
        <v>0</v>
      </c>
      <c r="G90" s="8">
        <v>0</v>
      </c>
      <c r="I90" s="91"/>
    </row>
    <row r="91" spans="1:9" x14ac:dyDescent="0.3">
      <c r="C91" s="2" t="s">
        <v>918</v>
      </c>
      <c r="D91" s="6" t="s">
        <v>919</v>
      </c>
      <c r="E91" s="6">
        <v>1</v>
      </c>
      <c r="F91" s="8">
        <v>0</v>
      </c>
      <c r="G91" s="8">
        <v>0</v>
      </c>
      <c r="H91" s="7" t="s">
        <v>920</v>
      </c>
      <c r="I91" s="91">
        <v>44370</v>
      </c>
    </row>
    <row r="92" spans="1:9" x14ac:dyDescent="0.3">
      <c r="C92" s="2" t="s">
        <v>921</v>
      </c>
      <c r="D92" s="6" t="s">
        <v>922</v>
      </c>
      <c r="E92" s="6">
        <v>1</v>
      </c>
      <c r="F92" s="8">
        <v>0</v>
      </c>
      <c r="G92" s="8">
        <v>0</v>
      </c>
      <c r="H92" s="7" t="s">
        <v>920</v>
      </c>
      <c r="I92" s="91">
        <v>44370</v>
      </c>
    </row>
    <row r="93" spans="1:9" x14ac:dyDescent="0.3">
      <c r="C93" s="2" t="s">
        <v>923</v>
      </c>
      <c r="D93" s="6" t="s">
        <v>924</v>
      </c>
      <c r="E93" s="6">
        <v>8</v>
      </c>
      <c r="F93" s="8">
        <v>0</v>
      </c>
      <c r="G93" s="8">
        <v>3</v>
      </c>
      <c r="H93" s="7" t="s">
        <v>925</v>
      </c>
      <c r="I93" s="91">
        <v>44362</v>
      </c>
    </row>
    <row r="94" spans="1:9" x14ac:dyDescent="0.3">
      <c r="C94" s="2" t="s">
        <v>926</v>
      </c>
      <c r="D94" s="6" t="s">
        <v>927</v>
      </c>
      <c r="E94" s="6">
        <v>24</v>
      </c>
      <c r="F94" s="8">
        <v>0</v>
      </c>
      <c r="G94" s="8">
        <v>2</v>
      </c>
      <c r="H94" s="7" t="s">
        <v>928</v>
      </c>
      <c r="I94" s="91">
        <v>44403</v>
      </c>
    </row>
    <row r="95" spans="1:9" x14ac:dyDescent="0.3">
      <c r="C95" s="2" t="s">
        <v>929</v>
      </c>
      <c r="D95" s="6" t="s">
        <v>930</v>
      </c>
      <c r="E95" s="6">
        <v>5</v>
      </c>
      <c r="F95" s="8">
        <v>0</v>
      </c>
      <c r="G95" s="8">
        <v>0</v>
      </c>
      <c r="H95" s="7" t="s">
        <v>931</v>
      </c>
      <c r="I95" s="91">
        <v>44362</v>
      </c>
    </row>
    <row r="96" spans="1:9" x14ac:dyDescent="0.3">
      <c r="C96" s="2" t="s">
        <v>932</v>
      </c>
      <c r="D96" s="6" t="s">
        <v>930</v>
      </c>
      <c r="E96" s="6">
        <v>15</v>
      </c>
      <c r="F96" s="8">
        <v>0</v>
      </c>
      <c r="G96" s="8">
        <v>0</v>
      </c>
      <c r="H96" s="7" t="s">
        <v>931</v>
      </c>
      <c r="I96" s="91">
        <v>44362</v>
      </c>
    </row>
    <row r="97" spans="1:9" x14ac:dyDescent="0.3">
      <c r="C97" s="2" t="s">
        <v>933</v>
      </c>
      <c r="D97" s="6" t="s">
        <v>934</v>
      </c>
      <c r="E97" s="6">
        <v>1</v>
      </c>
      <c r="F97" s="8">
        <v>0</v>
      </c>
      <c r="G97" s="8">
        <v>0</v>
      </c>
      <c r="H97" s="7" t="s">
        <v>935</v>
      </c>
      <c r="I97" s="91">
        <v>44362</v>
      </c>
    </row>
    <row r="98" spans="1:9" x14ac:dyDescent="0.3">
      <c r="C98" s="2" t="s">
        <v>936</v>
      </c>
      <c r="D98" s="6" t="s">
        <v>937</v>
      </c>
      <c r="E98" s="6">
        <v>20</v>
      </c>
      <c r="F98" s="8">
        <v>0</v>
      </c>
      <c r="G98" s="8">
        <v>0</v>
      </c>
      <c r="H98" s="7" t="s">
        <v>935</v>
      </c>
      <c r="I98" s="91">
        <v>44392</v>
      </c>
    </row>
    <row r="99" spans="1:9" x14ac:dyDescent="0.3">
      <c r="C99" s="2" t="s">
        <v>938</v>
      </c>
      <c r="D99" s="6" t="s">
        <v>939</v>
      </c>
      <c r="E99" s="6">
        <v>10</v>
      </c>
      <c r="F99" s="8">
        <v>0</v>
      </c>
      <c r="G99" s="8">
        <v>0</v>
      </c>
      <c r="H99" s="7" t="s">
        <v>935</v>
      </c>
      <c r="I99" s="91">
        <v>44392</v>
      </c>
    </row>
    <row r="100" spans="1:9" x14ac:dyDescent="0.3">
      <c r="C100" s="2" t="s">
        <v>940</v>
      </c>
      <c r="D100" s="6" t="s">
        <v>941</v>
      </c>
      <c r="E100" s="6">
        <v>1</v>
      </c>
      <c r="F100" s="8">
        <v>0</v>
      </c>
      <c r="G100" s="8">
        <v>0</v>
      </c>
      <c r="I100" s="91"/>
    </row>
    <row r="101" spans="1:9" x14ac:dyDescent="0.3">
      <c r="C101" s="2" t="s">
        <v>942</v>
      </c>
      <c r="D101" s="6" t="s">
        <v>943</v>
      </c>
      <c r="E101" s="6">
        <v>1</v>
      </c>
      <c r="F101" s="8">
        <v>0</v>
      </c>
      <c r="G101" s="8">
        <v>0</v>
      </c>
      <c r="I101" s="91"/>
    </row>
    <row r="102" spans="1:9" x14ac:dyDescent="0.3">
      <c r="C102" s="2" t="s">
        <v>944</v>
      </c>
      <c r="D102" s="6" t="s">
        <v>945</v>
      </c>
      <c r="E102" s="6">
        <v>5</v>
      </c>
      <c r="F102" s="8">
        <v>0</v>
      </c>
      <c r="G102" s="8">
        <v>0</v>
      </c>
      <c r="H102" s="7" t="s">
        <v>935</v>
      </c>
      <c r="I102" s="91">
        <v>44377</v>
      </c>
    </row>
    <row r="103" spans="1:9" x14ac:dyDescent="0.3">
      <c r="C103" s="2" t="s">
        <v>946</v>
      </c>
      <c r="D103" s="6" t="s">
        <v>947</v>
      </c>
      <c r="E103" s="6">
        <v>60</v>
      </c>
      <c r="F103" s="8">
        <v>0</v>
      </c>
      <c r="G103" s="8">
        <v>0</v>
      </c>
      <c r="H103" s="7" t="s">
        <v>935</v>
      </c>
      <c r="I103" s="91">
        <v>44362</v>
      </c>
    </row>
    <row r="104" spans="1:9" x14ac:dyDescent="0.3">
      <c r="C104" s="2" t="s">
        <v>948</v>
      </c>
      <c r="D104" s="6" t="s">
        <v>949</v>
      </c>
      <c r="E104" s="6">
        <v>1</v>
      </c>
      <c r="F104" s="8">
        <v>0</v>
      </c>
      <c r="G104" s="8">
        <v>0</v>
      </c>
      <c r="H104" s="7" t="s">
        <v>920</v>
      </c>
      <c r="I104" s="91">
        <v>44370</v>
      </c>
    </row>
    <row r="105" spans="1:9" x14ac:dyDescent="0.3">
      <c r="C105" s="2" t="s">
        <v>950</v>
      </c>
      <c r="D105" s="6" t="s">
        <v>951</v>
      </c>
      <c r="E105" s="6">
        <v>10</v>
      </c>
      <c r="F105" s="8">
        <v>0</v>
      </c>
      <c r="G105" s="8">
        <v>0</v>
      </c>
      <c r="I105" s="91"/>
    </row>
    <row r="106" spans="1:9" x14ac:dyDescent="0.3">
      <c r="C106" s="2" t="s">
        <v>952</v>
      </c>
      <c r="D106" s="6" t="s">
        <v>953</v>
      </c>
      <c r="E106" s="6">
        <v>80</v>
      </c>
      <c r="F106" s="8">
        <v>0</v>
      </c>
      <c r="G106" s="8">
        <v>0</v>
      </c>
      <c r="I106" s="91"/>
    </row>
    <row r="107" spans="1:9" x14ac:dyDescent="0.3">
      <c r="C107" s="2" t="s">
        <v>954</v>
      </c>
      <c r="D107" s="6" t="s">
        <v>953</v>
      </c>
      <c r="E107" s="6">
        <v>30</v>
      </c>
      <c r="F107" s="8">
        <v>0</v>
      </c>
      <c r="G107" s="8">
        <v>0</v>
      </c>
      <c r="I107" s="91"/>
    </row>
    <row r="108" spans="1:9" x14ac:dyDescent="0.3">
      <c r="C108" s="2" t="s">
        <v>955</v>
      </c>
      <c r="D108" s="6" t="s">
        <v>953</v>
      </c>
      <c r="E108" s="6">
        <v>20</v>
      </c>
      <c r="F108" s="8">
        <v>0</v>
      </c>
      <c r="G108" s="8">
        <v>0</v>
      </c>
      <c r="I108" s="91"/>
    </row>
    <row r="109" spans="1:9" x14ac:dyDescent="0.3">
      <c r="C109" s="2" t="s">
        <v>956</v>
      </c>
      <c r="D109" s="6" t="s">
        <v>957</v>
      </c>
      <c r="E109" s="6">
        <v>1</v>
      </c>
      <c r="F109" s="8">
        <v>0</v>
      </c>
      <c r="G109" s="8">
        <v>0</v>
      </c>
      <c r="I109" s="91"/>
    </row>
    <row r="110" spans="1:9" x14ac:dyDescent="0.3">
      <c r="C110" s="2" t="s">
        <v>958</v>
      </c>
      <c r="D110" s="6" t="s">
        <v>959</v>
      </c>
      <c r="E110" s="6">
        <v>1</v>
      </c>
      <c r="F110" s="8">
        <v>0</v>
      </c>
      <c r="G110" s="8">
        <v>0</v>
      </c>
      <c r="I110" s="91"/>
    </row>
    <row r="111" spans="1:9" x14ac:dyDescent="0.3">
      <c r="A111" s="92"/>
      <c r="B111" s="93" t="s">
        <v>482</v>
      </c>
      <c r="C111" s="93" t="s">
        <v>483</v>
      </c>
      <c r="D111" s="94" t="s">
        <v>484</v>
      </c>
      <c r="E111" s="94"/>
      <c r="F111" s="95"/>
      <c r="G111" s="95"/>
      <c r="H111" s="96" t="s">
        <v>422</v>
      </c>
      <c r="I111" s="97">
        <v>449022</v>
      </c>
    </row>
    <row r="112" spans="1:9" x14ac:dyDescent="0.3">
      <c r="C112" s="2" t="s">
        <v>385</v>
      </c>
      <c r="D112" s="6" t="s">
        <v>386</v>
      </c>
      <c r="E112" s="6">
        <v>4</v>
      </c>
      <c r="F112" s="8">
        <v>0</v>
      </c>
      <c r="G112" s="8">
        <v>0</v>
      </c>
      <c r="I112" s="91"/>
    </row>
    <row r="113" spans="1:9" x14ac:dyDescent="0.3">
      <c r="C113" s="2" t="s">
        <v>485</v>
      </c>
      <c r="D113" s="6" t="s">
        <v>486</v>
      </c>
      <c r="E113" s="6">
        <v>4</v>
      </c>
      <c r="F113" s="8">
        <v>0</v>
      </c>
      <c r="G113" s="8">
        <v>0</v>
      </c>
      <c r="I113" s="91"/>
    </row>
    <row r="114" spans="1:9" x14ac:dyDescent="0.3">
      <c r="C114" s="2" t="s">
        <v>439</v>
      </c>
      <c r="D114" s="6" t="s">
        <v>440</v>
      </c>
      <c r="E114" s="6">
        <v>4</v>
      </c>
      <c r="F114" s="8">
        <v>0</v>
      </c>
      <c r="G114" s="8">
        <v>0</v>
      </c>
      <c r="I114" s="91"/>
    </row>
    <row r="115" spans="1:9" x14ac:dyDescent="0.3">
      <c r="C115" s="2" t="s">
        <v>861</v>
      </c>
      <c r="D115" s="6" t="s">
        <v>862</v>
      </c>
      <c r="E115" s="6">
        <v>4</v>
      </c>
      <c r="F115" s="8">
        <v>0</v>
      </c>
      <c r="G115" s="8">
        <v>0</v>
      </c>
      <c r="H115" s="7" t="s">
        <v>863</v>
      </c>
      <c r="I115" s="91">
        <v>44357</v>
      </c>
    </row>
    <row r="116" spans="1:9" x14ac:dyDescent="0.3">
      <c r="C116" s="2" t="s">
        <v>960</v>
      </c>
      <c r="D116" s="6" t="s">
        <v>961</v>
      </c>
      <c r="E116" s="6">
        <v>4</v>
      </c>
      <c r="F116" s="8">
        <v>0</v>
      </c>
      <c r="G116" s="8">
        <v>0</v>
      </c>
      <c r="I116" s="91"/>
    </row>
    <row r="117" spans="1:9" x14ac:dyDescent="0.3">
      <c r="C117" s="2" t="s">
        <v>962</v>
      </c>
      <c r="D117" s="6" t="s">
        <v>963</v>
      </c>
      <c r="E117" s="6">
        <v>1</v>
      </c>
      <c r="F117" s="8">
        <v>0</v>
      </c>
      <c r="G117" s="8">
        <v>0</v>
      </c>
      <c r="H117" s="7" t="s">
        <v>964</v>
      </c>
      <c r="I117" s="91">
        <v>44354</v>
      </c>
    </row>
    <row r="118" spans="1:9" x14ac:dyDescent="0.3">
      <c r="A118" s="92"/>
      <c r="B118" s="93" t="s">
        <v>487</v>
      </c>
      <c r="C118" s="93" t="s">
        <v>488</v>
      </c>
      <c r="D118" s="94" t="s">
        <v>489</v>
      </c>
      <c r="E118" s="94"/>
      <c r="F118" s="95"/>
      <c r="G118" s="95"/>
      <c r="H118" s="96" t="s">
        <v>422</v>
      </c>
      <c r="I118" s="97">
        <v>449022</v>
      </c>
    </row>
    <row r="119" spans="1:9" x14ac:dyDescent="0.3">
      <c r="C119" s="2" t="s">
        <v>490</v>
      </c>
      <c r="D119" s="6" t="s">
        <v>491</v>
      </c>
      <c r="E119" s="6">
        <v>4</v>
      </c>
      <c r="F119" s="8">
        <v>0</v>
      </c>
      <c r="G119" s="8">
        <v>0</v>
      </c>
      <c r="I119" s="91"/>
    </row>
    <row r="120" spans="1:9" x14ac:dyDescent="0.3">
      <c r="C120" s="2" t="s">
        <v>434</v>
      </c>
      <c r="D120" s="6" t="s">
        <v>435</v>
      </c>
      <c r="E120" s="6">
        <v>8</v>
      </c>
      <c r="F120" s="8">
        <v>0</v>
      </c>
      <c r="G120" s="8">
        <v>0</v>
      </c>
      <c r="I120" s="91"/>
    </row>
    <row r="121" spans="1:9" x14ac:dyDescent="0.3">
      <c r="C121" s="2" t="s">
        <v>461</v>
      </c>
      <c r="D121" s="6" t="s">
        <v>462</v>
      </c>
      <c r="E121" s="6">
        <v>4</v>
      </c>
      <c r="F121" s="8">
        <v>0</v>
      </c>
      <c r="G121" s="8">
        <v>0</v>
      </c>
      <c r="I121" s="91"/>
    </row>
    <row r="122" spans="1:9" x14ac:dyDescent="0.3">
      <c r="C122" s="2" t="s">
        <v>492</v>
      </c>
      <c r="D122" s="6" t="s">
        <v>493</v>
      </c>
      <c r="E122" s="6">
        <v>8</v>
      </c>
      <c r="F122" s="8">
        <v>0</v>
      </c>
      <c r="G122" s="8">
        <v>0</v>
      </c>
      <c r="I122" s="91"/>
    </row>
    <row r="123" spans="1:9" x14ac:dyDescent="0.3">
      <c r="C123" s="2" t="s">
        <v>494</v>
      </c>
      <c r="D123" s="6" t="s">
        <v>495</v>
      </c>
      <c r="E123" s="6">
        <v>8</v>
      </c>
      <c r="F123" s="8">
        <v>0</v>
      </c>
      <c r="G123" s="8">
        <v>4</v>
      </c>
      <c r="H123" s="7" t="s">
        <v>438</v>
      </c>
      <c r="I123" s="91">
        <v>4</v>
      </c>
    </row>
    <row r="124" spans="1:9" x14ac:dyDescent="0.3">
      <c r="C124" s="2" t="s">
        <v>496</v>
      </c>
      <c r="D124" s="6" t="s">
        <v>497</v>
      </c>
      <c r="E124" s="6">
        <v>2</v>
      </c>
      <c r="F124" s="8">
        <v>0</v>
      </c>
      <c r="G124" s="8">
        <v>0</v>
      </c>
      <c r="I124" s="91"/>
    </row>
    <row r="125" spans="1:9" x14ac:dyDescent="0.3">
      <c r="C125" s="2" t="s">
        <v>498</v>
      </c>
      <c r="D125" s="6" t="s">
        <v>499</v>
      </c>
      <c r="E125" s="6">
        <v>8</v>
      </c>
      <c r="F125" s="8">
        <v>0</v>
      </c>
      <c r="G125" s="8">
        <v>0</v>
      </c>
      <c r="I125" s="91"/>
    </row>
    <row r="126" spans="1:9" x14ac:dyDescent="0.3">
      <c r="A126" s="92"/>
      <c r="B126" s="93" t="s">
        <v>500</v>
      </c>
      <c r="C126" s="93" t="s">
        <v>501</v>
      </c>
      <c r="D126" s="94" t="s">
        <v>502</v>
      </c>
      <c r="E126" s="94"/>
      <c r="F126" s="95"/>
      <c r="G126" s="95"/>
      <c r="H126" s="96" t="s">
        <v>422</v>
      </c>
      <c r="I126" s="97">
        <v>449022</v>
      </c>
    </row>
    <row r="127" spans="1:9" x14ac:dyDescent="0.3">
      <c r="C127" s="2" t="s">
        <v>503</v>
      </c>
      <c r="D127" s="6" t="s">
        <v>504</v>
      </c>
      <c r="E127" s="6">
        <v>4</v>
      </c>
      <c r="F127" s="8">
        <v>0</v>
      </c>
      <c r="G127" s="8">
        <v>0</v>
      </c>
      <c r="I127" s="91"/>
    </row>
    <row r="128" spans="1:9" x14ac:dyDescent="0.3">
      <c r="C128" s="2" t="s">
        <v>505</v>
      </c>
      <c r="D128" s="6" t="s">
        <v>506</v>
      </c>
      <c r="E128" s="6">
        <v>1</v>
      </c>
      <c r="F128" s="8">
        <v>0</v>
      </c>
      <c r="G128" s="8">
        <v>0</v>
      </c>
      <c r="I128" s="91"/>
    </row>
    <row r="129" spans="1:9" x14ac:dyDescent="0.3">
      <c r="C129" s="2" t="s">
        <v>439</v>
      </c>
      <c r="D129" s="6" t="s">
        <v>440</v>
      </c>
      <c r="E129" s="6">
        <v>1</v>
      </c>
      <c r="F129" s="8">
        <v>0</v>
      </c>
      <c r="G129" s="8">
        <v>0</v>
      </c>
      <c r="I129" s="91"/>
    </row>
    <row r="130" spans="1:9" x14ac:dyDescent="0.3">
      <c r="C130" s="2" t="s">
        <v>498</v>
      </c>
      <c r="D130" s="6" t="s">
        <v>499</v>
      </c>
      <c r="E130" s="6">
        <v>1</v>
      </c>
      <c r="F130" s="8">
        <v>0</v>
      </c>
      <c r="G130" s="8">
        <v>0</v>
      </c>
      <c r="I130" s="91"/>
    </row>
    <row r="131" spans="1:9" x14ac:dyDescent="0.3">
      <c r="A131" s="92"/>
      <c r="B131" s="93" t="s">
        <v>507</v>
      </c>
      <c r="C131" s="93" t="s">
        <v>508</v>
      </c>
      <c r="D131" s="94" t="s">
        <v>509</v>
      </c>
      <c r="E131" s="94"/>
      <c r="F131" s="95"/>
      <c r="G131" s="95"/>
      <c r="H131" s="96" t="s">
        <v>422</v>
      </c>
      <c r="I131" s="97">
        <v>449022</v>
      </c>
    </row>
    <row r="132" spans="1:9" x14ac:dyDescent="0.3">
      <c r="C132" s="2" t="s">
        <v>434</v>
      </c>
      <c r="D132" s="6" t="s">
        <v>435</v>
      </c>
      <c r="E132" s="6">
        <v>16</v>
      </c>
      <c r="F132" s="8">
        <v>0</v>
      </c>
      <c r="G132" s="8">
        <v>0</v>
      </c>
      <c r="I132" s="91"/>
    </row>
    <row r="133" spans="1:9" x14ac:dyDescent="0.3">
      <c r="C133" s="2" t="s">
        <v>510</v>
      </c>
      <c r="D133" s="6" t="s">
        <v>511</v>
      </c>
      <c r="E133" s="6">
        <v>16</v>
      </c>
      <c r="F133" s="8">
        <v>0</v>
      </c>
      <c r="G133" s="8">
        <v>4</v>
      </c>
      <c r="H133" s="7" t="s">
        <v>512</v>
      </c>
      <c r="I133" s="91">
        <v>4</v>
      </c>
    </row>
    <row r="134" spans="1:9" x14ac:dyDescent="0.3">
      <c r="C134" s="2" t="s">
        <v>439</v>
      </c>
      <c r="D134" s="6" t="s">
        <v>440</v>
      </c>
      <c r="E134" s="6">
        <v>16</v>
      </c>
      <c r="F134" s="8">
        <v>0</v>
      </c>
      <c r="G134" s="8">
        <v>0</v>
      </c>
      <c r="I134" s="91"/>
    </row>
    <row r="135" spans="1:9" x14ac:dyDescent="0.3">
      <c r="A135" s="92"/>
      <c r="B135" s="93" t="s">
        <v>513</v>
      </c>
      <c r="C135" s="93" t="s">
        <v>514</v>
      </c>
      <c r="D135" s="94" t="s">
        <v>515</v>
      </c>
      <c r="E135" s="94"/>
      <c r="F135" s="95"/>
      <c r="G135" s="95"/>
      <c r="H135" s="96" t="s">
        <v>422</v>
      </c>
      <c r="I135" s="97">
        <v>449022</v>
      </c>
    </row>
    <row r="136" spans="1:9" x14ac:dyDescent="0.3">
      <c r="C136" s="2" t="s">
        <v>516</v>
      </c>
      <c r="D136" s="6" t="s">
        <v>517</v>
      </c>
      <c r="E136" s="6">
        <v>2</v>
      </c>
      <c r="F136" s="8">
        <v>0</v>
      </c>
      <c r="G136" s="8">
        <v>0</v>
      </c>
      <c r="H136" s="7" t="s">
        <v>518</v>
      </c>
      <c r="I136" s="91">
        <v>44377</v>
      </c>
    </row>
    <row r="137" spans="1:9" x14ac:dyDescent="0.3">
      <c r="C137" s="2" t="s">
        <v>519</v>
      </c>
      <c r="D137" s="6" t="s">
        <v>520</v>
      </c>
      <c r="E137" s="6">
        <v>1</v>
      </c>
      <c r="F137" s="8">
        <v>0</v>
      </c>
      <c r="G137" s="8">
        <v>0</v>
      </c>
      <c r="H137" s="7" t="s">
        <v>518</v>
      </c>
      <c r="I137" s="91">
        <v>44377</v>
      </c>
    </row>
    <row r="138" spans="1:9" x14ac:dyDescent="0.3">
      <c r="C138" s="2" t="s">
        <v>521</v>
      </c>
      <c r="D138" s="6" t="s">
        <v>522</v>
      </c>
      <c r="E138" s="6">
        <v>5</v>
      </c>
      <c r="F138" s="8">
        <v>0</v>
      </c>
      <c r="G138" s="8">
        <v>0</v>
      </c>
      <c r="H138" s="7" t="s">
        <v>523</v>
      </c>
      <c r="I138" s="91">
        <v>44372</v>
      </c>
    </row>
    <row r="139" spans="1:9" x14ac:dyDescent="0.3">
      <c r="C139" s="2" t="s">
        <v>524</v>
      </c>
      <c r="D139" s="6" t="s">
        <v>525</v>
      </c>
      <c r="E139" s="6">
        <v>1</v>
      </c>
      <c r="F139" s="8">
        <v>0</v>
      </c>
      <c r="G139" s="8">
        <v>0</v>
      </c>
      <c r="H139" s="7" t="s">
        <v>523</v>
      </c>
      <c r="I139" s="91">
        <v>44365</v>
      </c>
    </row>
    <row r="140" spans="1:9" x14ac:dyDescent="0.3">
      <c r="C140" s="2" t="s">
        <v>526</v>
      </c>
      <c r="D140" s="6" t="s">
        <v>527</v>
      </c>
      <c r="E140" s="6">
        <v>3</v>
      </c>
      <c r="F140" s="8">
        <v>0</v>
      </c>
      <c r="G140" s="8">
        <v>0</v>
      </c>
      <c r="H140" s="7" t="s">
        <v>523</v>
      </c>
      <c r="I140" s="91">
        <v>44365</v>
      </c>
    </row>
    <row r="141" spans="1:9" x14ac:dyDescent="0.3">
      <c r="C141" s="2" t="s">
        <v>528</v>
      </c>
      <c r="D141" s="6" t="s">
        <v>522</v>
      </c>
      <c r="E141" s="6">
        <v>6</v>
      </c>
      <c r="F141" s="8">
        <v>0</v>
      </c>
      <c r="G141" s="8">
        <v>0</v>
      </c>
      <c r="H141" s="7" t="s">
        <v>523</v>
      </c>
      <c r="I141" s="91">
        <v>44358</v>
      </c>
    </row>
    <row r="142" spans="1:9" x14ac:dyDescent="0.3">
      <c r="C142" s="2" t="s">
        <v>529</v>
      </c>
      <c r="D142" s="6" t="s">
        <v>522</v>
      </c>
      <c r="E142" s="6">
        <v>1</v>
      </c>
      <c r="F142" s="8">
        <v>0</v>
      </c>
      <c r="G142" s="8">
        <v>0</v>
      </c>
      <c r="H142" s="7" t="s">
        <v>523</v>
      </c>
      <c r="I142" s="91">
        <v>44358</v>
      </c>
    </row>
    <row r="143" spans="1:9" x14ac:dyDescent="0.3">
      <c r="C143" s="2" t="s">
        <v>530</v>
      </c>
      <c r="D143" s="6" t="s">
        <v>531</v>
      </c>
      <c r="E143" s="6">
        <v>3</v>
      </c>
      <c r="F143" s="8">
        <v>0</v>
      </c>
      <c r="G143" s="8">
        <v>0</v>
      </c>
      <c r="H143" s="7" t="s">
        <v>523</v>
      </c>
      <c r="I143" s="91">
        <v>44365</v>
      </c>
    </row>
    <row r="144" spans="1:9" x14ac:dyDescent="0.3">
      <c r="C144" s="2" t="s">
        <v>532</v>
      </c>
      <c r="D144" s="6" t="s">
        <v>533</v>
      </c>
      <c r="E144" s="6">
        <v>1</v>
      </c>
      <c r="F144" s="8">
        <v>0</v>
      </c>
      <c r="G144" s="8">
        <v>0</v>
      </c>
      <c r="H144" s="7" t="s">
        <v>523</v>
      </c>
      <c r="I144" s="91">
        <v>44379</v>
      </c>
    </row>
    <row r="145" spans="3:9" x14ac:dyDescent="0.3">
      <c r="C145" s="2" t="s">
        <v>534</v>
      </c>
      <c r="D145" s="6" t="s">
        <v>535</v>
      </c>
      <c r="E145" s="6">
        <v>1</v>
      </c>
      <c r="F145" s="8">
        <v>0</v>
      </c>
      <c r="G145" s="8">
        <v>0</v>
      </c>
      <c r="H145" s="7" t="s">
        <v>523</v>
      </c>
      <c r="I145" s="91">
        <v>44379</v>
      </c>
    </row>
    <row r="146" spans="3:9" x14ac:dyDescent="0.3">
      <c r="C146" s="2" t="s">
        <v>536</v>
      </c>
      <c r="D146" s="6" t="s">
        <v>537</v>
      </c>
      <c r="E146" s="6">
        <v>2</v>
      </c>
      <c r="F146" s="8">
        <v>0</v>
      </c>
      <c r="G146" s="8">
        <v>0</v>
      </c>
      <c r="H146" s="7" t="s">
        <v>523</v>
      </c>
      <c r="I146" s="91">
        <v>44379</v>
      </c>
    </row>
    <row r="147" spans="3:9" x14ac:dyDescent="0.3">
      <c r="C147" s="2" t="s">
        <v>538</v>
      </c>
      <c r="D147" s="6" t="s">
        <v>539</v>
      </c>
      <c r="E147" s="6">
        <v>1</v>
      </c>
      <c r="F147" s="8">
        <v>0</v>
      </c>
      <c r="G147" s="8">
        <v>0</v>
      </c>
      <c r="H147" s="7" t="s">
        <v>523</v>
      </c>
      <c r="I147" s="91">
        <v>44379</v>
      </c>
    </row>
    <row r="148" spans="3:9" x14ac:dyDescent="0.3">
      <c r="C148" s="2" t="s">
        <v>540</v>
      </c>
      <c r="D148" s="6" t="s">
        <v>541</v>
      </c>
      <c r="E148" s="6">
        <v>4</v>
      </c>
      <c r="F148" s="8">
        <v>0</v>
      </c>
      <c r="G148" s="8">
        <v>0</v>
      </c>
      <c r="H148" s="7" t="s">
        <v>523</v>
      </c>
      <c r="I148" s="91">
        <v>44379</v>
      </c>
    </row>
    <row r="149" spans="3:9" x14ac:dyDescent="0.3">
      <c r="C149" s="2" t="s">
        <v>542</v>
      </c>
      <c r="D149" s="6" t="s">
        <v>539</v>
      </c>
      <c r="E149" s="6">
        <v>1</v>
      </c>
      <c r="F149" s="8">
        <v>0</v>
      </c>
      <c r="G149" s="8">
        <v>0</v>
      </c>
      <c r="H149" s="7" t="s">
        <v>523</v>
      </c>
      <c r="I149" s="91">
        <v>44383</v>
      </c>
    </row>
    <row r="150" spans="3:9" x14ac:dyDescent="0.3">
      <c r="C150" s="2" t="s">
        <v>543</v>
      </c>
      <c r="D150" s="6" t="s">
        <v>544</v>
      </c>
      <c r="E150" s="6">
        <v>1</v>
      </c>
      <c r="F150" s="8">
        <v>0</v>
      </c>
      <c r="G150" s="8">
        <v>0</v>
      </c>
      <c r="H150" s="7" t="s">
        <v>523</v>
      </c>
      <c r="I150" s="91">
        <v>44383</v>
      </c>
    </row>
    <row r="151" spans="3:9" x14ac:dyDescent="0.3">
      <c r="C151" s="2" t="s">
        <v>545</v>
      </c>
      <c r="D151" s="6" t="s">
        <v>537</v>
      </c>
      <c r="E151" s="6">
        <v>3</v>
      </c>
      <c r="F151" s="8">
        <v>0</v>
      </c>
      <c r="G151" s="8">
        <v>0</v>
      </c>
      <c r="H151" s="7" t="s">
        <v>523</v>
      </c>
      <c r="I151" s="91">
        <v>44383</v>
      </c>
    </row>
    <row r="152" spans="3:9" x14ac:dyDescent="0.3">
      <c r="C152" s="2" t="s">
        <v>546</v>
      </c>
      <c r="D152" s="6" t="s">
        <v>547</v>
      </c>
      <c r="E152" s="6">
        <v>1</v>
      </c>
      <c r="F152" s="8">
        <v>0</v>
      </c>
      <c r="G152" s="8">
        <v>0</v>
      </c>
      <c r="H152" s="7" t="s">
        <v>523</v>
      </c>
      <c r="I152" s="91">
        <v>44383</v>
      </c>
    </row>
    <row r="153" spans="3:9" x14ac:dyDescent="0.3">
      <c r="C153" s="2" t="s">
        <v>548</v>
      </c>
      <c r="D153" s="6" t="s">
        <v>549</v>
      </c>
      <c r="E153" s="6">
        <v>1</v>
      </c>
      <c r="F153" s="8">
        <v>0</v>
      </c>
      <c r="G153" s="8">
        <v>0</v>
      </c>
      <c r="H153" s="7" t="s">
        <v>523</v>
      </c>
      <c r="I153" s="91">
        <v>44383</v>
      </c>
    </row>
    <row r="154" spans="3:9" x14ac:dyDescent="0.3">
      <c r="C154" s="2" t="s">
        <v>550</v>
      </c>
      <c r="D154" s="6" t="s">
        <v>551</v>
      </c>
      <c r="E154" s="6">
        <v>1</v>
      </c>
      <c r="F154" s="8">
        <v>0</v>
      </c>
      <c r="G154" s="8">
        <v>0</v>
      </c>
      <c r="H154" s="7" t="s">
        <v>523</v>
      </c>
      <c r="I154" s="91">
        <v>44383</v>
      </c>
    </row>
    <row r="155" spans="3:9" x14ac:dyDescent="0.3">
      <c r="C155" s="2" t="s">
        <v>552</v>
      </c>
      <c r="D155" s="6" t="s">
        <v>553</v>
      </c>
      <c r="E155" s="6">
        <v>2</v>
      </c>
      <c r="F155" s="8">
        <v>0</v>
      </c>
      <c r="G155" s="8">
        <v>0</v>
      </c>
      <c r="H155" s="7" t="s">
        <v>523</v>
      </c>
      <c r="I155" s="91">
        <v>44364</v>
      </c>
    </row>
    <row r="156" spans="3:9" x14ac:dyDescent="0.3">
      <c r="C156" s="2" t="s">
        <v>554</v>
      </c>
      <c r="D156" s="6" t="s">
        <v>555</v>
      </c>
      <c r="E156" s="6">
        <v>3</v>
      </c>
      <c r="F156" s="8">
        <v>0</v>
      </c>
      <c r="G156" s="8">
        <v>0</v>
      </c>
      <c r="H156" s="7" t="s">
        <v>556</v>
      </c>
      <c r="I156" s="91">
        <v>44365</v>
      </c>
    </row>
    <row r="157" spans="3:9" x14ac:dyDescent="0.3">
      <c r="C157" s="2" t="s">
        <v>557</v>
      </c>
      <c r="D157" s="6" t="s">
        <v>558</v>
      </c>
      <c r="E157" s="6">
        <v>3</v>
      </c>
      <c r="F157" s="8">
        <v>0</v>
      </c>
      <c r="G157" s="8">
        <v>0</v>
      </c>
      <c r="H157" s="7" t="s">
        <v>556</v>
      </c>
      <c r="I157" s="91">
        <v>44365</v>
      </c>
    </row>
    <row r="158" spans="3:9" x14ac:dyDescent="0.3">
      <c r="C158" s="2" t="s">
        <v>559</v>
      </c>
      <c r="D158" s="6" t="s">
        <v>560</v>
      </c>
      <c r="E158" s="6">
        <v>2</v>
      </c>
      <c r="F158" s="8">
        <v>0</v>
      </c>
      <c r="G158" s="8">
        <v>0</v>
      </c>
      <c r="H158" s="7" t="s">
        <v>556</v>
      </c>
      <c r="I158" s="91">
        <v>44365</v>
      </c>
    </row>
    <row r="159" spans="3:9" x14ac:dyDescent="0.3">
      <c r="C159" s="2" t="s">
        <v>561</v>
      </c>
      <c r="D159" s="6" t="s">
        <v>558</v>
      </c>
      <c r="E159" s="6">
        <v>10</v>
      </c>
      <c r="F159" s="8">
        <v>0</v>
      </c>
      <c r="G159" s="8">
        <v>0</v>
      </c>
      <c r="H159" s="7" t="s">
        <v>556</v>
      </c>
      <c r="I159" s="91">
        <v>44365</v>
      </c>
    </row>
    <row r="160" spans="3:9" x14ac:dyDescent="0.3">
      <c r="C160" s="2" t="s">
        <v>562</v>
      </c>
      <c r="D160" s="6" t="s">
        <v>563</v>
      </c>
      <c r="E160" s="6">
        <v>2</v>
      </c>
      <c r="F160" s="8">
        <v>0</v>
      </c>
      <c r="G160" s="8">
        <v>0</v>
      </c>
      <c r="H160" s="7" t="s">
        <v>556</v>
      </c>
      <c r="I160" s="91">
        <v>44365</v>
      </c>
    </row>
    <row r="161" spans="3:9" x14ac:dyDescent="0.3">
      <c r="C161" s="2" t="s">
        <v>564</v>
      </c>
      <c r="D161" s="6" t="s">
        <v>558</v>
      </c>
      <c r="E161" s="6">
        <v>4</v>
      </c>
      <c r="F161" s="8">
        <v>0</v>
      </c>
      <c r="G161" s="8">
        <v>0</v>
      </c>
      <c r="H161" s="7" t="s">
        <v>556</v>
      </c>
      <c r="I161" s="91">
        <v>44365</v>
      </c>
    </row>
    <row r="162" spans="3:9" x14ac:dyDescent="0.3">
      <c r="C162" s="2" t="s">
        <v>565</v>
      </c>
      <c r="D162" s="6" t="s">
        <v>566</v>
      </c>
      <c r="E162" s="6">
        <v>2</v>
      </c>
      <c r="F162" s="8">
        <v>0</v>
      </c>
      <c r="G162" s="8">
        <v>0</v>
      </c>
      <c r="H162" s="7" t="s">
        <v>556</v>
      </c>
      <c r="I162" s="91">
        <v>44365</v>
      </c>
    </row>
    <row r="163" spans="3:9" x14ac:dyDescent="0.3">
      <c r="C163" s="2" t="s">
        <v>965</v>
      </c>
      <c r="D163" s="6" t="s">
        <v>966</v>
      </c>
      <c r="E163" s="6">
        <v>1</v>
      </c>
      <c r="F163" s="8">
        <v>0</v>
      </c>
      <c r="G163" s="8">
        <v>0</v>
      </c>
      <c r="I163" s="91"/>
    </row>
    <row r="164" spans="3:9" x14ac:dyDescent="0.3">
      <c r="C164" s="2" t="s">
        <v>967</v>
      </c>
      <c r="D164" s="6" t="s">
        <v>968</v>
      </c>
      <c r="E164" s="6">
        <v>1</v>
      </c>
      <c r="F164" s="8">
        <v>0</v>
      </c>
      <c r="G164" s="8">
        <v>0</v>
      </c>
      <c r="I164" s="91"/>
    </row>
    <row r="165" spans="3:9" x14ac:dyDescent="0.3">
      <c r="C165" s="2" t="s">
        <v>969</v>
      </c>
      <c r="D165" s="6" t="s">
        <v>970</v>
      </c>
      <c r="E165" s="6">
        <v>1</v>
      </c>
      <c r="F165" s="8">
        <v>0</v>
      </c>
      <c r="G165" s="8">
        <v>0</v>
      </c>
      <c r="I165" s="91"/>
    </row>
    <row r="166" spans="3:9" x14ac:dyDescent="0.3">
      <c r="C166" s="2" t="s">
        <v>971</v>
      </c>
      <c r="D166" s="6" t="s">
        <v>972</v>
      </c>
      <c r="E166" s="6">
        <v>1</v>
      </c>
      <c r="F166" s="8">
        <v>0</v>
      </c>
      <c r="G166" s="8">
        <v>0</v>
      </c>
      <c r="I166" s="91"/>
    </row>
    <row r="167" spans="3:9" x14ac:dyDescent="0.3">
      <c r="C167" s="2" t="s">
        <v>973</v>
      </c>
      <c r="D167" s="6" t="s">
        <v>974</v>
      </c>
      <c r="E167" s="6">
        <v>1</v>
      </c>
      <c r="F167" s="8">
        <v>0</v>
      </c>
      <c r="G167" s="8">
        <v>0</v>
      </c>
      <c r="I167" s="91"/>
    </row>
    <row r="168" spans="3:9" x14ac:dyDescent="0.3">
      <c r="C168" s="2" t="s">
        <v>975</v>
      </c>
      <c r="D168" s="6" t="s">
        <v>976</v>
      </c>
      <c r="E168" s="6">
        <v>1</v>
      </c>
      <c r="F168" s="8">
        <v>0</v>
      </c>
      <c r="G168" s="8">
        <v>0</v>
      </c>
      <c r="I168" s="91"/>
    </row>
    <row r="169" spans="3:9" x14ac:dyDescent="0.3">
      <c r="C169" s="2" t="s">
        <v>977</v>
      </c>
      <c r="D169" s="6" t="s">
        <v>978</v>
      </c>
      <c r="E169" s="6">
        <v>1</v>
      </c>
      <c r="F169" s="8">
        <v>0</v>
      </c>
      <c r="G169" s="8">
        <v>0</v>
      </c>
      <c r="I169" s="91"/>
    </row>
    <row r="170" spans="3:9" x14ac:dyDescent="0.3">
      <c r="C170" s="2" t="s">
        <v>979</v>
      </c>
      <c r="D170" s="6" t="s">
        <v>980</v>
      </c>
      <c r="E170" s="6">
        <v>1</v>
      </c>
      <c r="F170" s="8">
        <v>0</v>
      </c>
      <c r="G170" s="8">
        <v>0</v>
      </c>
      <c r="I170" s="91"/>
    </row>
    <row r="171" spans="3:9" x14ac:dyDescent="0.3">
      <c r="C171" s="2" t="s">
        <v>981</v>
      </c>
      <c r="D171" s="6" t="s">
        <v>982</v>
      </c>
      <c r="E171" s="6">
        <v>1</v>
      </c>
      <c r="F171" s="8">
        <v>0</v>
      </c>
      <c r="G171" s="8">
        <v>0</v>
      </c>
      <c r="I171" s="91"/>
    </row>
    <row r="172" spans="3:9" x14ac:dyDescent="0.3">
      <c r="C172" s="2" t="s">
        <v>983</v>
      </c>
      <c r="D172" s="6" t="s">
        <v>984</v>
      </c>
      <c r="E172" s="6">
        <v>1</v>
      </c>
      <c r="F172" s="8">
        <v>0</v>
      </c>
      <c r="G172" s="8">
        <v>0</v>
      </c>
      <c r="I172" s="91"/>
    </row>
    <row r="173" spans="3:9" x14ac:dyDescent="0.3">
      <c r="C173" s="2" t="s">
        <v>985</v>
      </c>
      <c r="D173" s="6" t="s">
        <v>986</v>
      </c>
      <c r="E173" s="6">
        <v>1</v>
      </c>
      <c r="F173" s="8">
        <v>0</v>
      </c>
      <c r="G173" s="8">
        <v>0</v>
      </c>
      <c r="I173" s="91"/>
    </row>
    <row r="174" spans="3:9" x14ac:dyDescent="0.3">
      <c r="C174" s="2" t="s">
        <v>987</v>
      </c>
      <c r="D174" s="6" t="s">
        <v>988</v>
      </c>
      <c r="E174" s="6">
        <v>1</v>
      </c>
      <c r="F174" s="8">
        <v>0</v>
      </c>
      <c r="G174" s="8">
        <v>0</v>
      </c>
      <c r="I174" s="91"/>
    </row>
    <row r="175" spans="3:9" x14ac:dyDescent="0.3">
      <c r="C175" s="2" t="s">
        <v>989</v>
      </c>
      <c r="D175" s="6" t="s">
        <v>990</v>
      </c>
      <c r="E175" s="6">
        <v>1</v>
      </c>
      <c r="F175" s="8">
        <v>0</v>
      </c>
      <c r="G175" s="8">
        <v>0</v>
      </c>
      <c r="I175" s="91"/>
    </row>
    <row r="176" spans="3:9" x14ac:dyDescent="0.3">
      <c r="C176" s="2" t="s">
        <v>991</v>
      </c>
      <c r="D176" s="6" t="s">
        <v>992</v>
      </c>
      <c r="E176" s="6">
        <v>1</v>
      </c>
      <c r="F176" s="8">
        <v>0</v>
      </c>
      <c r="G176" s="8">
        <v>0</v>
      </c>
      <c r="I176" s="91"/>
    </row>
    <row r="177" spans="3:9" x14ac:dyDescent="0.3">
      <c r="C177" s="2" t="s">
        <v>993</v>
      </c>
      <c r="D177" s="6" t="s">
        <v>994</v>
      </c>
      <c r="E177" s="6">
        <v>1</v>
      </c>
      <c r="F177" s="8">
        <v>0</v>
      </c>
      <c r="G177" s="8">
        <v>0</v>
      </c>
      <c r="I177" s="91"/>
    </row>
    <row r="178" spans="3:9" x14ac:dyDescent="0.3">
      <c r="C178" s="2" t="s">
        <v>995</v>
      </c>
      <c r="D178" s="6" t="s">
        <v>996</v>
      </c>
      <c r="E178" s="6">
        <v>1</v>
      </c>
      <c r="F178" s="8">
        <v>0</v>
      </c>
      <c r="G178" s="8">
        <v>0</v>
      </c>
      <c r="I178" s="91"/>
    </row>
    <row r="179" spans="3:9" x14ac:dyDescent="0.3">
      <c r="C179" s="2" t="s">
        <v>997</v>
      </c>
      <c r="D179" s="6" t="s">
        <v>998</v>
      </c>
      <c r="E179" s="6">
        <v>1</v>
      </c>
      <c r="F179" s="8">
        <v>0</v>
      </c>
      <c r="G179" s="8">
        <v>0</v>
      </c>
      <c r="I179" s="91"/>
    </row>
    <row r="180" spans="3:9" x14ac:dyDescent="0.3">
      <c r="C180" s="2" t="s">
        <v>999</v>
      </c>
      <c r="D180" s="6" t="s">
        <v>1000</v>
      </c>
      <c r="E180" s="6">
        <v>1</v>
      </c>
      <c r="F180" s="8">
        <v>0</v>
      </c>
      <c r="G180" s="8">
        <v>0</v>
      </c>
      <c r="I180" s="91"/>
    </row>
    <row r="181" spans="3:9" x14ac:dyDescent="0.3">
      <c r="C181" s="2" t="s">
        <v>1001</v>
      </c>
      <c r="D181" s="6" t="s">
        <v>1002</v>
      </c>
      <c r="E181" s="6">
        <v>3</v>
      </c>
      <c r="F181" s="8">
        <v>0</v>
      </c>
      <c r="G181" s="8">
        <v>0</v>
      </c>
      <c r="I181" s="91"/>
    </row>
    <row r="182" spans="3:9" x14ac:dyDescent="0.3">
      <c r="C182" s="2" t="s">
        <v>1003</v>
      </c>
      <c r="D182" s="6" t="s">
        <v>1004</v>
      </c>
      <c r="E182" s="6">
        <v>1</v>
      </c>
      <c r="F182" s="8">
        <v>0</v>
      </c>
      <c r="G182" s="8">
        <v>0</v>
      </c>
      <c r="I182" s="91"/>
    </row>
    <row r="183" spans="3:9" x14ac:dyDescent="0.3">
      <c r="C183" s="2" t="s">
        <v>1005</v>
      </c>
      <c r="D183" s="6" t="s">
        <v>1006</v>
      </c>
      <c r="E183" s="6">
        <v>1</v>
      </c>
      <c r="F183" s="8">
        <v>0</v>
      </c>
      <c r="G183" s="8">
        <v>0</v>
      </c>
      <c r="I183" s="91"/>
    </row>
    <row r="184" spans="3:9" x14ac:dyDescent="0.3">
      <c r="C184" s="2" t="s">
        <v>1007</v>
      </c>
      <c r="D184" s="6" t="s">
        <v>1008</v>
      </c>
      <c r="E184" s="6">
        <v>1</v>
      </c>
      <c r="F184" s="8">
        <v>0</v>
      </c>
      <c r="G184" s="8">
        <v>0</v>
      </c>
      <c r="I184" s="91"/>
    </row>
    <row r="185" spans="3:9" x14ac:dyDescent="0.3">
      <c r="C185" s="2" t="s">
        <v>1009</v>
      </c>
      <c r="D185" s="6" t="s">
        <v>1010</v>
      </c>
      <c r="E185" s="6">
        <v>1</v>
      </c>
      <c r="F185" s="8">
        <v>0</v>
      </c>
      <c r="G185" s="8">
        <v>0</v>
      </c>
      <c r="I185" s="91"/>
    </row>
    <row r="186" spans="3:9" x14ac:dyDescent="0.3">
      <c r="C186" s="2" t="s">
        <v>1011</v>
      </c>
      <c r="D186" s="6" t="s">
        <v>1012</v>
      </c>
      <c r="E186" s="6">
        <v>1</v>
      </c>
      <c r="F186" s="8">
        <v>0</v>
      </c>
      <c r="G186" s="8">
        <v>0</v>
      </c>
      <c r="I186" s="91"/>
    </row>
    <row r="187" spans="3:9" x14ac:dyDescent="0.3">
      <c r="C187" s="2" t="s">
        <v>1013</v>
      </c>
      <c r="D187" s="6" t="s">
        <v>1014</v>
      </c>
      <c r="E187" s="6">
        <v>1</v>
      </c>
      <c r="F187" s="8">
        <v>0</v>
      </c>
      <c r="G187" s="8">
        <v>0</v>
      </c>
      <c r="I187" s="91"/>
    </row>
    <row r="188" spans="3:9" x14ac:dyDescent="0.3">
      <c r="C188" s="2" t="s">
        <v>1015</v>
      </c>
      <c r="D188" s="6" t="s">
        <v>1016</v>
      </c>
      <c r="E188" s="6">
        <v>1</v>
      </c>
      <c r="F188" s="8">
        <v>0</v>
      </c>
      <c r="G188" s="8">
        <v>0</v>
      </c>
      <c r="I188" s="91"/>
    </row>
    <row r="189" spans="3:9" x14ac:dyDescent="0.3">
      <c r="C189" s="2" t="s">
        <v>1017</v>
      </c>
      <c r="D189" s="6" t="s">
        <v>1018</v>
      </c>
      <c r="E189" s="6">
        <v>1</v>
      </c>
      <c r="F189" s="8">
        <v>0</v>
      </c>
      <c r="G189" s="8">
        <v>0</v>
      </c>
      <c r="I189" s="91"/>
    </row>
    <row r="190" spans="3:9" x14ac:dyDescent="0.3">
      <c r="C190" s="2" t="s">
        <v>1019</v>
      </c>
      <c r="D190" s="6" t="s">
        <v>1020</v>
      </c>
      <c r="E190" s="6">
        <v>1</v>
      </c>
      <c r="F190" s="8">
        <v>0</v>
      </c>
      <c r="G190" s="8">
        <v>0</v>
      </c>
      <c r="I190" s="91"/>
    </row>
    <row r="191" spans="3:9" x14ac:dyDescent="0.3">
      <c r="C191" s="2" t="s">
        <v>1021</v>
      </c>
      <c r="D191" s="6" t="s">
        <v>1022</v>
      </c>
      <c r="E191" s="6">
        <v>1</v>
      </c>
      <c r="F191" s="8">
        <v>0</v>
      </c>
      <c r="G191" s="8">
        <v>0</v>
      </c>
      <c r="I191" s="91"/>
    </row>
    <row r="192" spans="3:9" x14ac:dyDescent="0.3">
      <c r="C192" s="2" t="s">
        <v>1023</v>
      </c>
      <c r="D192" s="6" t="s">
        <v>1024</v>
      </c>
      <c r="E192" s="6">
        <v>1</v>
      </c>
      <c r="F192" s="8">
        <v>0</v>
      </c>
      <c r="G192" s="8">
        <v>0</v>
      </c>
      <c r="I192" s="91"/>
    </row>
    <row r="193" spans="3:9" x14ac:dyDescent="0.3">
      <c r="C193" s="2" t="s">
        <v>1025</v>
      </c>
      <c r="D193" s="6" t="s">
        <v>1026</v>
      </c>
      <c r="E193" s="6">
        <v>1</v>
      </c>
      <c r="F193" s="8">
        <v>0</v>
      </c>
      <c r="G193" s="8">
        <v>0</v>
      </c>
      <c r="I193" s="91"/>
    </row>
    <row r="194" spans="3:9" x14ac:dyDescent="0.3">
      <c r="C194" s="2" t="s">
        <v>1027</v>
      </c>
      <c r="D194" s="6" t="s">
        <v>1028</v>
      </c>
      <c r="E194" s="6">
        <v>1</v>
      </c>
      <c r="F194" s="8">
        <v>0</v>
      </c>
      <c r="G194" s="8">
        <v>0</v>
      </c>
      <c r="I194" s="91"/>
    </row>
    <row r="195" spans="3:9" x14ac:dyDescent="0.3">
      <c r="C195" s="2" t="s">
        <v>1029</v>
      </c>
      <c r="D195" s="6" t="s">
        <v>1030</v>
      </c>
      <c r="E195" s="6">
        <v>1</v>
      </c>
      <c r="F195" s="8">
        <v>0</v>
      </c>
      <c r="G195" s="8">
        <v>0</v>
      </c>
      <c r="I195" s="91"/>
    </row>
    <row r="196" spans="3:9" x14ac:dyDescent="0.3">
      <c r="C196" s="2" t="s">
        <v>1031</v>
      </c>
      <c r="D196" s="6" t="s">
        <v>1032</v>
      </c>
      <c r="E196" s="6">
        <v>1</v>
      </c>
      <c r="F196" s="8">
        <v>0</v>
      </c>
      <c r="G196" s="8">
        <v>0</v>
      </c>
      <c r="I196" s="91"/>
    </row>
    <row r="197" spans="3:9" x14ac:dyDescent="0.3">
      <c r="C197" s="2" t="s">
        <v>1033</v>
      </c>
      <c r="D197" s="6" t="s">
        <v>1034</v>
      </c>
      <c r="E197" s="6">
        <v>1</v>
      </c>
      <c r="F197" s="8">
        <v>0</v>
      </c>
      <c r="G197" s="8">
        <v>0</v>
      </c>
      <c r="I197" s="91"/>
    </row>
    <row r="198" spans="3:9" x14ac:dyDescent="0.3">
      <c r="C198" s="2" t="s">
        <v>1035</v>
      </c>
      <c r="D198" s="6" t="s">
        <v>1036</v>
      </c>
      <c r="E198" s="6">
        <v>2</v>
      </c>
      <c r="F198" s="8">
        <v>0</v>
      </c>
      <c r="G198" s="8">
        <v>0</v>
      </c>
      <c r="I198" s="91"/>
    </row>
    <row r="199" spans="3:9" x14ac:dyDescent="0.3">
      <c r="C199" s="2" t="s">
        <v>1037</v>
      </c>
      <c r="D199" s="6" t="s">
        <v>1038</v>
      </c>
      <c r="E199" s="6">
        <v>1</v>
      </c>
      <c r="F199" s="8">
        <v>0</v>
      </c>
      <c r="G199" s="8">
        <v>0</v>
      </c>
      <c r="I199" s="91"/>
    </row>
    <row r="200" spans="3:9" x14ac:dyDescent="0.3">
      <c r="C200" s="2" t="s">
        <v>1039</v>
      </c>
      <c r="D200" s="6" t="s">
        <v>1040</v>
      </c>
      <c r="E200" s="6">
        <v>1</v>
      </c>
      <c r="F200" s="8">
        <v>0</v>
      </c>
      <c r="G200" s="8">
        <v>0</v>
      </c>
      <c r="I200" s="91"/>
    </row>
    <row r="201" spans="3:9" x14ac:dyDescent="0.3">
      <c r="C201" s="2" t="s">
        <v>1041</v>
      </c>
      <c r="D201" s="6" t="s">
        <v>1042</v>
      </c>
      <c r="E201" s="6">
        <v>1</v>
      </c>
      <c r="F201" s="8">
        <v>0</v>
      </c>
      <c r="G201" s="8">
        <v>0</v>
      </c>
      <c r="I201" s="91"/>
    </row>
    <row r="202" spans="3:9" x14ac:dyDescent="0.3">
      <c r="C202" s="2" t="s">
        <v>1043</v>
      </c>
      <c r="D202" s="6" t="s">
        <v>1044</v>
      </c>
      <c r="E202" s="6">
        <v>1</v>
      </c>
      <c r="F202" s="8">
        <v>0</v>
      </c>
      <c r="G202" s="8">
        <v>0</v>
      </c>
      <c r="I202" s="91"/>
    </row>
    <row r="203" spans="3:9" x14ac:dyDescent="0.3">
      <c r="C203" s="2" t="s">
        <v>1045</v>
      </c>
      <c r="D203" s="6" t="s">
        <v>1046</v>
      </c>
      <c r="E203" s="6">
        <v>1</v>
      </c>
      <c r="F203" s="8">
        <v>0</v>
      </c>
      <c r="G203" s="8">
        <v>0</v>
      </c>
      <c r="I203" s="91"/>
    </row>
    <row r="204" spans="3:9" x14ac:dyDescent="0.3">
      <c r="C204" s="2" t="s">
        <v>1047</v>
      </c>
      <c r="D204" s="6" t="s">
        <v>1048</v>
      </c>
      <c r="E204" s="6">
        <v>1</v>
      </c>
      <c r="F204" s="8">
        <v>0</v>
      </c>
      <c r="G204" s="8">
        <v>0</v>
      </c>
      <c r="I204" s="91"/>
    </row>
    <row r="205" spans="3:9" x14ac:dyDescent="0.3">
      <c r="C205" s="2" t="s">
        <v>1049</v>
      </c>
      <c r="D205" s="6" t="s">
        <v>1050</v>
      </c>
      <c r="E205" s="6">
        <v>1</v>
      </c>
      <c r="F205" s="8">
        <v>0</v>
      </c>
      <c r="G205" s="8">
        <v>0</v>
      </c>
      <c r="I205" s="91"/>
    </row>
    <row r="206" spans="3:9" x14ac:dyDescent="0.3">
      <c r="C206" s="2" t="s">
        <v>1051</v>
      </c>
      <c r="D206" s="6" t="s">
        <v>1052</v>
      </c>
      <c r="E206" s="6">
        <v>1</v>
      </c>
      <c r="F206" s="8">
        <v>0</v>
      </c>
      <c r="G206" s="8">
        <v>0</v>
      </c>
      <c r="I206" s="91"/>
    </row>
    <row r="207" spans="3:9" x14ac:dyDescent="0.3">
      <c r="C207" s="2" t="s">
        <v>1053</v>
      </c>
      <c r="D207" s="6" t="s">
        <v>1054</v>
      </c>
      <c r="E207" s="6">
        <v>1</v>
      </c>
      <c r="F207" s="8">
        <v>0</v>
      </c>
      <c r="G207" s="8">
        <v>0</v>
      </c>
      <c r="I207" s="91"/>
    </row>
    <row r="208" spans="3:9" x14ac:dyDescent="0.3">
      <c r="C208" s="2" t="s">
        <v>1055</v>
      </c>
      <c r="D208" s="6" t="s">
        <v>1056</v>
      </c>
      <c r="E208" s="6">
        <v>1</v>
      </c>
      <c r="F208" s="8">
        <v>0</v>
      </c>
      <c r="G208" s="8">
        <v>0</v>
      </c>
      <c r="I208" s="91"/>
    </row>
    <row r="209" spans="3:9" x14ac:dyDescent="0.3">
      <c r="C209" s="2" t="s">
        <v>1057</v>
      </c>
      <c r="D209" s="6" t="s">
        <v>1058</v>
      </c>
      <c r="E209" s="6">
        <v>1</v>
      </c>
      <c r="F209" s="8">
        <v>0</v>
      </c>
      <c r="G209" s="8">
        <v>0</v>
      </c>
      <c r="I209" s="91"/>
    </row>
    <row r="210" spans="3:9" x14ac:dyDescent="0.3">
      <c r="C210" s="2" t="s">
        <v>1059</v>
      </c>
      <c r="D210" s="6" t="s">
        <v>1060</v>
      </c>
      <c r="E210" s="6">
        <v>1</v>
      </c>
      <c r="F210" s="8">
        <v>0</v>
      </c>
      <c r="G210" s="8">
        <v>0</v>
      </c>
      <c r="I210" s="91"/>
    </row>
    <row r="211" spans="3:9" x14ac:dyDescent="0.3">
      <c r="C211" s="2" t="s">
        <v>1061</v>
      </c>
      <c r="D211" s="6" t="s">
        <v>1062</v>
      </c>
      <c r="E211" s="6">
        <v>1</v>
      </c>
      <c r="F211" s="8">
        <v>0</v>
      </c>
      <c r="G211" s="8">
        <v>0</v>
      </c>
      <c r="I211" s="91"/>
    </row>
    <row r="212" spans="3:9" x14ac:dyDescent="0.3">
      <c r="C212" s="2" t="s">
        <v>1063</v>
      </c>
      <c r="D212" s="6" t="s">
        <v>1064</v>
      </c>
      <c r="E212" s="6">
        <v>1</v>
      </c>
      <c r="F212" s="8">
        <v>0</v>
      </c>
      <c r="G212" s="8">
        <v>0</v>
      </c>
      <c r="I212" s="91"/>
    </row>
    <row r="213" spans="3:9" x14ac:dyDescent="0.3">
      <c r="C213" s="2" t="s">
        <v>1065</v>
      </c>
      <c r="D213" s="6" t="s">
        <v>1066</v>
      </c>
      <c r="E213" s="6">
        <v>1</v>
      </c>
      <c r="F213" s="8">
        <v>0</v>
      </c>
      <c r="G213" s="8">
        <v>0</v>
      </c>
      <c r="I213" s="91"/>
    </row>
    <row r="214" spans="3:9" x14ac:dyDescent="0.3">
      <c r="C214" s="2" t="s">
        <v>1067</v>
      </c>
      <c r="D214" s="6" t="s">
        <v>1068</v>
      </c>
      <c r="E214" s="6">
        <v>1</v>
      </c>
      <c r="F214" s="8">
        <v>0</v>
      </c>
      <c r="G214" s="8">
        <v>0</v>
      </c>
      <c r="I214" s="91"/>
    </row>
    <row r="215" spans="3:9" x14ac:dyDescent="0.3">
      <c r="C215" s="2" t="s">
        <v>1069</v>
      </c>
      <c r="D215" s="6" t="s">
        <v>1070</v>
      </c>
      <c r="E215" s="6">
        <v>1</v>
      </c>
      <c r="F215" s="8">
        <v>0</v>
      </c>
      <c r="G215" s="8">
        <v>0</v>
      </c>
      <c r="I215" s="91"/>
    </row>
    <row r="216" spans="3:9" x14ac:dyDescent="0.3">
      <c r="C216" s="2" t="s">
        <v>1071</v>
      </c>
      <c r="D216" s="6" t="s">
        <v>1072</v>
      </c>
      <c r="E216" s="6">
        <v>1</v>
      </c>
      <c r="F216" s="8">
        <v>0</v>
      </c>
      <c r="G216" s="8">
        <v>0</v>
      </c>
      <c r="I216" s="91"/>
    </row>
    <row r="217" spans="3:9" x14ac:dyDescent="0.3">
      <c r="C217" s="2" t="s">
        <v>567</v>
      </c>
      <c r="D217" s="6" t="s">
        <v>568</v>
      </c>
      <c r="E217" s="6">
        <v>1</v>
      </c>
      <c r="F217" s="8">
        <v>0</v>
      </c>
      <c r="G217" s="8">
        <v>0</v>
      </c>
      <c r="H217" s="7" t="s">
        <v>569</v>
      </c>
      <c r="I217" s="91">
        <v>44358</v>
      </c>
    </row>
    <row r="218" spans="3:9" x14ac:dyDescent="0.3">
      <c r="C218" s="2" t="s">
        <v>570</v>
      </c>
      <c r="D218" s="6" t="s">
        <v>571</v>
      </c>
      <c r="E218" s="6">
        <v>1</v>
      </c>
      <c r="F218" s="8">
        <v>0</v>
      </c>
      <c r="G218" s="8">
        <v>0</v>
      </c>
      <c r="H218" s="7" t="s">
        <v>569</v>
      </c>
      <c r="I218" s="91">
        <v>44358</v>
      </c>
    </row>
    <row r="219" spans="3:9" x14ac:dyDescent="0.3">
      <c r="C219" s="2" t="s">
        <v>572</v>
      </c>
      <c r="D219" s="6" t="s">
        <v>573</v>
      </c>
      <c r="E219" s="6">
        <v>2</v>
      </c>
      <c r="F219" s="8">
        <v>0</v>
      </c>
      <c r="G219" s="8">
        <v>0</v>
      </c>
      <c r="H219" s="7" t="s">
        <v>574</v>
      </c>
      <c r="I219" s="91">
        <v>44385</v>
      </c>
    </row>
    <row r="220" spans="3:9" x14ac:dyDescent="0.3">
      <c r="C220" s="2" t="s">
        <v>575</v>
      </c>
      <c r="D220" s="6" t="s">
        <v>573</v>
      </c>
      <c r="E220" s="6">
        <v>1</v>
      </c>
      <c r="F220" s="8">
        <v>0</v>
      </c>
      <c r="G220" s="8">
        <v>0</v>
      </c>
      <c r="H220" s="7" t="s">
        <v>574</v>
      </c>
      <c r="I220" s="91">
        <v>44385</v>
      </c>
    </row>
    <row r="221" spans="3:9" x14ac:dyDescent="0.3">
      <c r="C221" s="2" t="s">
        <v>576</v>
      </c>
      <c r="D221" s="6" t="s">
        <v>573</v>
      </c>
      <c r="E221" s="6">
        <v>3</v>
      </c>
      <c r="F221" s="8">
        <v>0</v>
      </c>
      <c r="G221" s="8">
        <v>0</v>
      </c>
      <c r="H221" s="7" t="s">
        <v>574</v>
      </c>
      <c r="I221" s="91">
        <v>44385</v>
      </c>
    </row>
    <row r="222" spans="3:9" x14ac:dyDescent="0.3">
      <c r="C222" s="2" t="s">
        <v>577</v>
      </c>
      <c r="D222" s="6" t="s">
        <v>573</v>
      </c>
      <c r="E222" s="6">
        <v>1</v>
      </c>
      <c r="F222" s="8">
        <v>0</v>
      </c>
      <c r="G222" s="8">
        <v>0</v>
      </c>
      <c r="H222" s="7" t="s">
        <v>574</v>
      </c>
      <c r="I222" s="91">
        <v>44385</v>
      </c>
    </row>
    <row r="223" spans="3:9" x14ac:dyDescent="0.3">
      <c r="C223" s="2" t="s">
        <v>578</v>
      </c>
      <c r="D223" s="6" t="s">
        <v>579</v>
      </c>
      <c r="E223" s="6">
        <v>1</v>
      </c>
      <c r="F223" s="8">
        <v>0</v>
      </c>
      <c r="G223" s="8">
        <v>0</v>
      </c>
      <c r="H223" s="7" t="s">
        <v>574</v>
      </c>
      <c r="I223" s="91">
        <v>44385</v>
      </c>
    </row>
    <row r="224" spans="3:9" x14ac:dyDescent="0.3">
      <c r="C224" s="2" t="s">
        <v>580</v>
      </c>
      <c r="D224" s="6" t="s">
        <v>581</v>
      </c>
      <c r="E224" s="6">
        <v>1</v>
      </c>
      <c r="F224" s="8">
        <v>0</v>
      </c>
      <c r="G224" s="8">
        <v>0</v>
      </c>
      <c r="H224" s="7" t="s">
        <v>574</v>
      </c>
      <c r="I224" s="91">
        <v>44385</v>
      </c>
    </row>
    <row r="225" spans="3:9" x14ac:dyDescent="0.3">
      <c r="C225" s="2" t="s">
        <v>582</v>
      </c>
      <c r="D225" s="6" t="s">
        <v>583</v>
      </c>
      <c r="E225" s="6">
        <v>1</v>
      </c>
      <c r="F225" s="8">
        <v>0</v>
      </c>
      <c r="G225" s="8">
        <v>0</v>
      </c>
      <c r="H225" s="7" t="s">
        <v>574</v>
      </c>
      <c r="I225" s="91">
        <v>44385</v>
      </c>
    </row>
    <row r="226" spans="3:9" x14ac:dyDescent="0.3">
      <c r="C226" s="2" t="s">
        <v>584</v>
      </c>
      <c r="D226" s="6" t="s">
        <v>573</v>
      </c>
      <c r="E226" s="6">
        <v>1</v>
      </c>
      <c r="F226" s="8">
        <v>0</v>
      </c>
      <c r="G226" s="8">
        <v>0</v>
      </c>
      <c r="H226" s="7" t="s">
        <v>574</v>
      </c>
      <c r="I226" s="91">
        <v>44385</v>
      </c>
    </row>
    <row r="227" spans="3:9" x14ac:dyDescent="0.3">
      <c r="C227" s="2" t="s">
        <v>585</v>
      </c>
      <c r="D227" s="6" t="s">
        <v>573</v>
      </c>
      <c r="E227" s="6">
        <v>1</v>
      </c>
      <c r="F227" s="8">
        <v>0</v>
      </c>
      <c r="G227" s="8">
        <v>0</v>
      </c>
      <c r="H227" s="7" t="s">
        <v>574</v>
      </c>
      <c r="I227" s="91">
        <v>44385</v>
      </c>
    </row>
    <row r="228" spans="3:9" x14ac:dyDescent="0.3">
      <c r="C228" s="2" t="s">
        <v>586</v>
      </c>
      <c r="D228" s="6" t="s">
        <v>587</v>
      </c>
      <c r="E228" s="6">
        <v>1</v>
      </c>
      <c r="F228" s="8">
        <v>0</v>
      </c>
      <c r="G228" s="8">
        <v>0</v>
      </c>
      <c r="H228" s="7" t="s">
        <v>574</v>
      </c>
      <c r="I228" s="91">
        <v>44385</v>
      </c>
    </row>
    <row r="229" spans="3:9" x14ac:dyDescent="0.3">
      <c r="C229" s="2" t="s">
        <v>588</v>
      </c>
      <c r="D229" s="6" t="s">
        <v>589</v>
      </c>
      <c r="E229" s="6">
        <v>2</v>
      </c>
      <c r="F229" s="8">
        <v>0</v>
      </c>
      <c r="G229" s="8">
        <v>0</v>
      </c>
      <c r="H229" s="7" t="s">
        <v>574</v>
      </c>
      <c r="I229" s="91">
        <v>44385</v>
      </c>
    </row>
    <row r="230" spans="3:9" x14ac:dyDescent="0.3">
      <c r="C230" s="2" t="s">
        <v>590</v>
      </c>
      <c r="D230" s="6" t="s">
        <v>591</v>
      </c>
      <c r="E230" s="6">
        <v>1</v>
      </c>
      <c r="F230" s="8">
        <v>0</v>
      </c>
      <c r="G230" s="8">
        <v>0</v>
      </c>
      <c r="H230" s="7" t="s">
        <v>574</v>
      </c>
      <c r="I230" s="91">
        <v>44385</v>
      </c>
    </row>
    <row r="231" spans="3:9" x14ac:dyDescent="0.3">
      <c r="C231" s="2" t="s">
        <v>592</v>
      </c>
      <c r="D231" s="6" t="s">
        <v>593</v>
      </c>
      <c r="E231" s="6">
        <v>1</v>
      </c>
      <c r="F231" s="8">
        <v>0</v>
      </c>
      <c r="G231" s="8">
        <v>0</v>
      </c>
      <c r="H231" s="7" t="s">
        <v>574</v>
      </c>
      <c r="I231" s="91">
        <v>44385</v>
      </c>
    </row>
    <row r="232" spans="3:9" x14ac:dyDescent="0.3">
      <c r="C232" s="2" t="s">
        <v>594</v>
      </c>
      <c r="D232" s="6" t="s">
        <v>591</v>
      </c>
      <c r="E232" s="6">
        <v>1</v>
      </c>
      <c r="F232" s="8">
        <v>0</v>
      </c>
      <c r="G232" s="8">
        <v>0</v>
      </c>
      <c r="H232" s="7" t="s">
        <v>574</v>
      </c>
      <c r="I232" s="91">
        <v>44385</v>
      </c>
    </row>
    <row r="233" spans="3:9" x14ac:dyDescent="0.3">
      <c r="C233" s="2" t="s">
        <v>595</v>
      </c>
      <c r="D233" s="6" t="s">
        <v>591</v>
      </c>
      <c r="E233" s="6">
        <v>1</v>
      </c>
      <c r="F233" s="8">
        <v>0</v>
      </c>
      <c r="G233" s="8">
        <v>0</v>
      </c>
      <c r="H233" s="7" t="s">
        <v>574</v>
      </c>
      <c r="I233" s="91">
        <v>44385</v>
      </c>
    </row>
    <row r="234" spans="3:9" x14ac:dyDescent="0.3">
      <c r="C234" s="2" t="s">
        <v>596</v>
      </c>
      <c r="D234" s="6" t="s">
        <v>597</v>
      </c>
      <c r="E234" s="6">
        <v>2</v>
      </c>
      <c r="F234" s="8">
        <v>0</v>
      </c>
      <c r="G234" s="8">
        <v>0</v>
      </c>
      <c r="H234" s="7" t="s">
        <v>598</v>
      </c>
      <c r="I234" s="91">
        <v>44350</v>
      </c>
    </row>
    <row r="235" spans="3:9" x14ac:dyDescent="0.3">
      <c r="C235" s="2" t="s">
        <v>599</v>
      </c>
      <c r="D235" s="6" t="s">
        <v>593</v>
      </c>
      <c r="E235" s="6">
        <v>1</v>
      </c>
      <c r="F235" s="8">
        <v>0</v>
      </c>
      <c r="G235" s="8">
        <v>0</v>
      </c>
      <c r="H235" s="7" t="s">
        <v>574</v>
      </c>
      <c r="I235" s="91">
        <v>44385</v>
      </c>
    </row>
    <row r="236" spans="3:9" x14ac:dyDescent="0.3">
      <c r="C236" s="2" t="s">
        <v>600</v>
      </c>
      <c r="D236" s="6" t="s">
        <v>558</v>
      </c>
      <c r="E236" s="6">
        <v>1</v>
      </c>
      <c r="F236" s="8">
        <v>0</v>
      </c>
      <c r="G236" s="8">
        <v>0</v>
      </c>
      <c r="H236" s="7" t="s">
        <v>556</v>
      </c>
      <c r="I236" s="91">
        <v>44365</v>
      </c>
    </row>
    <row r="237" spans="3:9" x14ac:dyDescent="0.3">
      <c r="C237" s="2" t="s">
        <v>601</v>
      </c>
      <c r="D237" s="6" t="s">
        <v>558</v>
      </c>
      <c r="E237" s="6">
        <v>1</v>
      </c>
      <c r="F237" s="8">
        <v>0</v>
      </c>
      <c r="G237" s="8">
        <v>0</v>
      </c>
      <c r="H237" s="7" t="s">
        <v>556</v>
      </c>
      <c r="I237" s="91">
        <v>44365</v>
      </c>
    </row>
    <row r="238" spans="3:9" x14ac:dyDescent="0.3">
      <c r="C238" s="2" t="s">
        <v>602</v>
      </c>
      <c r="D238" s="6" t="s">
        <v>558</v>
      </c>
      <c r="E238" s="6">
        <v>1</v>
      </c>
      <c r="F238" s="8">
        <v>0</v>
      </c>
      <c r="G238" s="8">
        <v>0</v>
      </c>
      <c r="H238" s="7" t="s">
        <v>556</v>
      </c>
      <c r="I238" s="91">
        <v>44365</v>
      </c>
    </row>
    <row r="239" spans="3:9" x14ac:dyDescent="0.3">
      <c r="C239" s="2" t="s">
        <v>603</v>
      </c>
      <c r="D239" s="6" t="s">
        <v>558</v>
      </c>
      <c r="E239" s="6">
        <v>1</v>
      </c>
      <c r="F239" s="8">
        <v>0</v>
      </c>
      <c r="G239" s="8">
        <v>0</v>
      </c>
      <c r="H239" s="7" t="s">
        <v>556</v>
      </c>
      <c r="I239" s="91">
        <v>44365</v>
      </c>
    </row>
    <row r="240" spans="3:9" x14ac:dyDescent="0.3">
      <c r="C240" s="2" t="s">
        <v>604</v>
      </c>
      <c r="D240" s="6" t="s">
        <v>558</v>
      </c>
      <c r="E240" s="6">
        <v>1</v>
      </c>
      <c r="F240" s="8">
        <v>0</v>
      </c>
      <c r="G240" s="8">
        <v>0</v>
      </c>
      <c r="H240" s="7" t="s">
        <v>556</v>
      </c>
      <c r="I240" s="91">
        <v>44365</v>
      </c>
    </row>
    <row r="241" spans="3:9" x14ac:dyDescent="0.3">
      <c r="C241" s="2" t="s">
        <v>605</v>
      </c>
      <c r="D241" s="6" t="s">
        <v>606</v>
      </c>
      <c r="E241" s="6">
        <v>4</v>
      </c>
      <c r="F241" s="8">
        <v>0</v>
      </c>
      <c r="G241" s="8">
        <v>0</v>
      </c>
      <c r="H241" s="7" t="s">
        <v>556</v>
      </c>
      <c r="I241" s="91">
        <v>44365</v>
      </c>
    </row>
    <row r="242" spans="3:9" x14ac:dyDescent="0.3">
      <c r="C242" s="2" t="s">
        <v>607</v>
      </c>
      <c r="D242" s="6" t="s">
        <v>558</v>
      </c>
      <c r="E242" s="6">
        <v>1</v>
      </c>
      <c r="F242" s="8">
        <v>0</v>
      </c>
      <c r="G242" s="8">
        <v>0</v>
      </c>
      <c r="H242" s="7" t="s">
        <v>556</v>
      </c>
      <c r="I242" s="91">
        <v>44365</v>
      </c>
    </row>
    <row r="243" spans="3:9" x14ac:dyDescent="0.3">
      <c r="C243" s="2" t="s">
        <v>608</v>
      </c>
      <c r="D243" s="6" t="s">
        <v>558</v>
      </c>
      <c r="E243" s="6">
        <v>1</v>
      </c>
      <c r="F243" s="8">
        <v>0</v>
      </c>
      <c r="G243" s="8">
        <v>0</v>
      </c>
      <c r="H243" s="7" t="s">
        <v>556</v>
      </c>
      <c r="I243" s="91">
        <v>44365</v>
      </c>
    </row>
    <row r="244" spans="3:9" x14ac:dyDescent="0.3">
      <c r="C244" s="2" t="s">
        <v>609</v>
      </c>
      <c r="D244" s="6" t="s">
        <v>558</v>
      </c>
      <c r="E244" s="6">
        <v>1</v>
      </c>
      <c r="F244" s="8">
        <v>0</v>
      </c>
      <c r="G244" s="8">
        <v>0</v>
      </c>
      <c r="H244" s="7" t="s">
        <v>556</v>
      </c>
      <c r="I244" s="91">
        <v>44365</v>
      </c>
    </row>
    <row r="245" spans="3:9" x14ac:dyDescent="0.3">
      <c r="C245" s="2" t="s">
        <v>610</v>
      </c>
      <c r="D245" s="6" t="s">
        <v>558</v>
      </c>
      <c r="E245" s="6">
        <v>1</v>
      </c>
      <c r="F245" s="8">
        <v>0</v>
      </c>
      <c r="G245" s="8">
        <v>0</v>
      </c>
      <c r="H245" s="7" t="s">
        <v>556</v>
      </c>
      <c r="I245" s="91">
        <v>44365</v>
      </c>
    </row>
    <row r="246" spans="3:9" x14ac:dyDescent="0.3">
      <c r="C246" s="2" t="s">
        <v>611</v>
      </c>
      <c r="D246" s="6" t="s">
        <v>558</v>
      </c>
      <c r="E246" s="6">
        <v>1</v>
      </c>
      <c r="F246" s="8">
        <v>0</v>
      </c>
      <c r="G246" s="8">
        <v>0</v>
      </c>
      <c r="H246" s="7" t="s">
        <v>556</v>
      </c>
      <c r="I246" s="91">
        <v>44365</v>
      </c>
    </row>
    <row r="247" spans="3:9" x14ac:dyDescent="0.3">
      <c r="C247" s="2" t="s">
        <v>612</v>
      </c>
      <c r="D247" s="6" t="s">
        <v>558</v>
      </c>
      <c r="E247" s="6">
        <v>2</v>
      </c>
      <c r="F247" s="8">
        <v>0</v>
      </c>
      <c r="G247" s="8">
        <v>0</v>
      </c>
      <c r="H247" s="7" t="s">
        <v>556</v>
      </c>
      <c r="I247" s="91">
        <v>44365</v>
      </c>
    </row>
    <row r="248" spans="3:9" x14ac:dyDescent="0.3">
      <c r="C248" s="2" t="s">
        <v>613</v>
      </c>
      <c r="D248" s="6" t="s">
        <v>558</v>
      </c>
      <c r="E248" s="6">
        <v>1</v>
      </c>
      <c r="F248" s="8">
        <v>0</v>
      </c>
      <c r="G248" s="8">
        <v>0</v>
      </c>
      <c r="H248" s="7" t="s">
        <v>556</v>
      </c>
      <c r="I248" s="91">
        <v>44365</v>
      </c>
    </row>
    <row r="249" spans="3:9" x14ac:dyDescent="0.3">
      <c r="C249" s="2" t="s">
        <v>614</v>
      </c>
      <c r="D249" s="6" t="s">
        <v>558</v>
      </c>
      <c r="E249" s="6">
        <v>1</v>
      </c>
      <c r="F249" s="8">
        <v>0</v>
      </c>
      <c r="G249" s="8">
        <v>0</v>
      </c>
      <c r="H249" s="7" t="s">
        <v>556</v>
      </c>
      <c r="I249" s="91">
        <v>44365</v>
      </c>
    </row>
    <row r="250" spans="3:9" x14ac:dyDescent="0.3">
      <c r="C250" s="2" t="s">
        <v>615</v>
      </c>
      <c r="D250" s="6" t="s">
        <v>558</v>
      </c>
      <c r="E250" s="6">
        <v>1</v>
      </c>
      <c r="F250" s="8">
        <v>0</v>
      </c>
      <c r="G250" s="8">
        <v>0</v>
      </c>
      <c r="H250" s="7" t="s">
        <v>556</v>
      </c>
      <c r="I250" s="91">
        <v>44365</v>
      </c>
    </row>
    <row r="251" spans="3:9" x14ac:dyDescent="0.3">
      <c r="C251" s="2" t="s">
        <v>616</v>
      </c>
      <c r="D251" s="6" t="s">
        <v>558</v>
      </c>
      <c r="E251" s="6">
        <v>1</v>
      </c>
      <c r="F251" s="8">
        <v>0</v>
      </c>
      <c r="G251" s="8">
        <v>0</v>
      </c>
      <c r="H251" s="7" t="s">
        <v>556</v>
      </c>
      <c r="I251" s="91">
        <v>44365</v>
      </c>
    </row>
    <row r="252" spans="3:9" x14ac:dyDescent="0.3">
      <c r="C252" s="2" t="s">
        <v>617</v>
      </c>
      <c r="D252" s="6" t="s">
        <v>558</v>
      </c>
      <c r="E252" s="6">
        <v>1</v>
      </c>
      <c r="F252" s="8">
        <v>0</v>
      </c>
      <c r="G252" s="8">
        <v>0</v>
      </c>
      <c r="H252" s="7" t="s">
        <v>556</v>
      </c>
      <c r="I252" s="91">
        <v>44365</v>
      </c>
    </row>
    <row r="253" spans="3:9" x14ac:dyDescent="0.3">
      <c r="C253" s="2" t="s">
        <v>618</v>
      </c>
      <c r="D253" s="6" t="s">
        <v>558</v>
      </c>
      <c r="E253" s="6">
        <v>1</v>
      </c>
      <c r="F253" s="8">
        <v>0</v>
      </c>
      <c r="G253" s="8">
        <v>0</v>
      </c>
      <c r="H253" s="7" t="s">
        <v>556</v>
      </c>
      <c r="I253" s="91">
        <v>44365</v>
      </c>
    </row>
    <row r="254" spans="3:9" x14ac:dyDescent="0.3">
      <c r="C254" s="2" t="s">
        <v>619</v>
      </c>
      <c r="D254" s="6" t="s">
        <v>558</v>
      </c>
      <c r="E254" s="6">
        <v>1</v>
      </c>
      <c r="F254" s="8">
        <v>0</v>
      </c>
      <c r="G254" s="8">
        <v>0</v>
      </c>
      <c r="H254" s="7" t="s">
        <v>556</v>
      </c>
      <c r="I254" s="91">
        <v>44365</v>
      </c>
    </row>
    <row r="255" spans="3:9" x14ac:dyDescent="0.3">
      <c r="C255" s="2" t="s">
        <v>620</v>
      </c>
      <c r="D255" s="6" t="s">
        <v>558</v>
      </c>
      <c r="E255" s="6">
        <v>1</v>
      </c>
      <c r="F255" s="8">
        <v>0</v>
      </c>
      <c r="G255" s="8">
        <v>0</v>
      </c>
      <c r="H255" s="7" t="s">
        <v>556</v>
      </c>
      <c r="I255" s="91">
        <v>44365</v>
      </c>
    </row>
    <row r="256" spans="3:9" x14ac:dyDescent="0.3">
      <c r="C256" s="2" t="s">
        <v>621</v>
      </c>
      <c r="D256" s="6" t="s">
        <v>558</v>
      </c>
      <c r="E256" s="6">
        <v>1</v>
      </c>
      <c r="F256" s="8">
        <v>0</v>
      </c>
      <c r="G256" s="8">
        <v>0</v>
      </c>
      <c r="H256" s="7" t="s">
        <v>556</v>
      </c>
      <c r="I256" s="91">
        <v>44365</v>
      </c>
    </row>
    <row r="257" spans="3:9" x14ac:dyDescent="0.3">
      <c r="C257" s="2" t="s">
        <v>622</v>
      </c>
      <c r="D257" s="6" t="s">
        <v>558</v>
      </c>
      <c r="E257" s="6">
        <v>1</v>
      </c>
      <c r="F257" s="8">
        <v>0</v>
      </c>
      <c r="G257" s="8">
        <v>0</v>
      </c>
      <c r="H257" s="7" t="s">
        <v>556</v>
      </c>
      <c r="I257" s="91">
        <v>44365</v>
      </c>
    </row>
    <row r="258" spans="3:9" x14ac:dyDescent="0.3">
      <c r="C258" s="2" t="s">
        <v>623</v>
      </c>
      <c r="D258" s="6" t="s">
        <v>558</v>
      </c>
      <c r="E258" s="6">
        <v>1</v>
      </c>
      <c r="F258" s="8">
        <v>0</v>
      </c>
      <c r="G258" s="8">
        <v>0</v>
      </c>
      <c r="H258" s="7" t="s">
        <v>556</v>
      </c>
      <c r="I258" s="91">
        <v>44365</v>
      </c>
    </row>
    <row r="259" spans="3:9" x14ac:dyDescent="0.3">
      <c r="C259" s="2" t="s">
        <v>624</v>
      </c>
      <c r="D259" s="6" t="s">
        <v>558</v>
      </c>
      <c r="E259" s="6">
        <v>2</v>
      </c>
      <c r="F259" s="8">
        <v>0</v>
      </c>
      <c r="G259" s="8">
        <v>0</v>
      </c>
      <c r="H259" s="7" t="s">
        <v>556</v>
      </c>
      <c r="I259" s="91">
        <v>44365</v>
      </c>
    </row>
    <row r="260" spans="3:9" x14ac:dyDescent="0.3">
      <c r="C260" s="2" t="s">
        <v>625</v>
      </c>
      <c r="D260" s="6" t="s">
        <v>626</v>
      </c>
      <c r="E260" s="6">
        <v>1</v>
      </c>
      <c r="F260" s="8">
        <v>0</v>
      </c>
      <c r="G260" s="8">
        <v>0</v>
      </c>
      <c r="H260" s="7" t="s">
        <v>556</v>
      </c>
      <c r="I260" s="91">
        <v>44365</v>
      </c>
    </row>
    <row r="261" spans="3:9" x14ac:dyDescent="0.3">
      <c r="C261" s="2" t="s">
        <v>627</v>
      </c>
      <c r="D261" s="6" t="s">
        <v>558</v>
      </c>
      <c r="E261" s="6">
        <v>1</v>
      </c>
      <c r="F261" s="8">
        <v>0</v>
      </c>
      <c r="G261" s="8">
        <v>0</v>
      </c>
      <c r="H261" s="7" t="s">
        <v>556</v>
      </c>
      <c r="I261" s="91">
        <v>44365</v>
      </c>
    </row>
    <row r="262" spans="3:9" x14ac:dyDescent="0.3">
      <c r="C262" s="2" t="s">
        <v>628</v>
      </c>
      <c r="D262" s="6" t="s">
        <v>558</v>
      </c>
      <c r="E262" s="6">
        <v>1</v>
      </c>
      <c r="F262" s="8">
        <v>0</v>
      </c>
      <c r="G262" s="8">
        <v>0</v>
      </c>
      <c r="H262" s="7" t="s">
        <v>556</v>
      </c>
      <c r="I262" s="91">
        <v>44365</v>
      </c>
    </row>
    <row r="263" spans="3:9" x14ac:dyDescent="0.3">
      <c r="C263" s="2" t="s">
        <v>629</v>
      </c>
      <c r="D263" s="6" t="s">
        <v>558</v>
      </c>
      <c r="E263" s="6">
        <v>1</v>
      </c>
      <c r="F263" s="8">
        <v>0</v>
      </c>
      <c r="G263" s="8">
        <v>0</v>
      </c>
      <c r="H263" s="7" t="s">
        <v>556</v>
      </c>
      <c r="I263" s="91">
        <v>44365</v>
      </c>
    </row>
    <row r="264" spans="3:9" x14ac:dyDescent="0.3">
      <c r="C264" s="2" t="s">
        <v>630</v>
      </c>
      <c r="D264" s="6" t="s">
        <v>558</v>
      </c>
      <c r="E264" s="6">
        <v>1</v>
      </c>
      <c r="F264" s="8">
        <v>0</v>
      </c>
      <c r="G264" s="8">
        <v>0</v>
      </c>
      <c r="H264" s="7" t="s">
        <v>556</v>
      </c>
      <c r="I264" s="91">
        <v>44365</v>
      </c>
    </row>
    <row r="265" spans="3:9" x14ac:dyDescent="0.3">
      <c r="C265" s="2" t="s">
        <v>631</v>
      </c>
      <c r="D265" s="6" t="s">
        <v>558</v>
      </c>
      <c r="E265" s="6">
        <v>1</v>
      </c>
      <c r="F265" s="8">
        <v>0</v>
      </c>
      <c r="G265" s="8">
        <v>0</v>
      </c>
      <c r="H265" s="7" t="s">
        <v>556</v>
      </c>
      <c r="I265" s="91">
        <v>44365</v>
      </c>
    </row>
    <row r="266" spans="3:9" x14ac:dyDescent="0.3">
      <c r="C266" s="2" t="s">
        <v>632</v>
      </c>
      <c r="D266" s="6" t="s">
        <v>558</v>
      </c>
      <c r="E266" s="6">
        <v>1</v>
      </c>
      <c r="F266" s="8">
        <v>0</v>
      </c>
      <c r="G266" s="8">
        <v>0</v>
      </c>
      <c r="H266" s="7" t="s">
        <v>556</v>
      </c>
      <c r="I266" s="91">
        <v>44365</v>
      </c>
    </row>
    <row r="267" spans="3:9" x14ac:dyDescent="0.3">
      <c r="C267" s="2" t="s">
        <v>633</v>
      </c>
      <c r="D267" s="6" t="s">
        <v>558</v>
      </c>
      <c r="E267" s="6">
        <v>1</v>
      </c>
      <c r="F267" s="8">
        <v>0</v>
      </c>
      <c r="G267" s="8">
        <v>0</v>
      </c>
      <c r="H267" s="7" t="s">
        <v>556</v>
      </c>
      <c r="I267" s="91">
        <v>44365</v>
      </c>
    </row>
    <row r="268" spans="3:9" x14ac:dyDescent="0.3">
      <c r="C268" s="2" t="s">
        <v>634</v>
      </c>
      <c r="D268" s="6" t="s">
        <v>558</v>
      </c>
      <c r="E268" s="6">
        <v>1</v>
      </c>
      <c r="F268" s="8">
        <v>0</v>
      </c>
      <c r="G268" s="8">
        <v>0</v>
      </c>
      <c r="H268" s="7" t="s">
        <v>556</v>
      </c>
      <c r="I268" s="91">
        <v>44365</v>
      </c>
    </row>
    <row r="269" spans="3:9" x14ac:dyDescent="0.3">
      <c r="C269" s="2" t="s">
        <v>635</v>
      </c>
      <c r="D269" s="6" t="s">
        <v>558</v>
      </c>
      <c r="E269" s="6">
        <v>1</v>
      </c>
      <c r="F269" s="8">
        <v>0</v>
      </c>
      <c r="G269" s="8">
        <v>0</v>
      </c>
      <c r="H269" s="7" t="s">
        <v>556</v>
      </c>
      <c r="I269" s="91">
        <v>44365</v>
      </c>
    </row>
    <row r="270" spans="3:9" x14ac:dyDescent="0.3">
      <c r="C270" s="2" t="s">
        <v>636</v>
      </c>
      <c r="D270" s="6" t="s">
        <v>558</v>
      </c>
      <c r="E270" s="6">
        <v>1</v>
      </c>
      <c r="F270" s="8">
        <v>0</v>
      </c>
      <c r="G270" s="8">
        <v>0</v>
      </c>
      <c r="H270" s="7" t="s">
        <v>556</v>
      </c>
      <c r="I270" s="91">
        <v>44365</v>
      </c>
    </row>
    <row r="271" spans="3:9" x14ac:dyDescent="0.3">
      <c r="C271" s="2" t="s">
        <v>637</v>
      </c>
      <c r="D271" s="6" t="s">
        <v>558</v>
      </c>
      <c r="E271" s="6">
        <v>1</v>
      </c>
      <c r="F271" s="8">
        <v>0</v>
      </c>
      <c r="G271" s="8">
        <v>0</v>
      </c>
      <c r="H271" s="7" t="s">
        <v>556</v>
      </c>
      <c r="I271" s="91">
        <v>44365</v>
      </c>
    </row>
    <row r="272" spans="3:9" x14ac:dyDescent="0.3">
      <c r="C272" s="2" t="s">
        <v>638</v>
      </c>
      <c r="D272" s="6" t="s">
        <v>558</v>
      </c>
      <c r="E272" s="6">
        <v>1</v>
      </c>
      <c r="F272" s="8">
        <v>0</v>
      </c>
      <c r="G272" s="8">
        <v>0</v>
      </c>
      <c r="H272" s="7" t="s">
        <v>556</v>
      </c>
      <c r="I272" s="91">
        <v>44365</v>
      </c>
    </row>
    <row r="273" spans="1:9" x14ac:dyDescent="0.3">
      <c r="C273" s="2" t="s">
        <v>639</v>
      </c>
      <c r="D273" s="6" t="s">
        <v>558</v>
      </c>
      <c r="E273" s="6">
        <v>1</v>
      </c>
      <c r="F273" s="8">
        <v>0</v>
      </c>
      <c r="G273" s="8">
        <v>0</v>
      </c>
      <c r="H273" s="7" t="s">
        <v>556</v>
      </c>
      <c r="I273" s="91">
        <v>44365</v>
      </c>
    </row>
    <row r="274" spans="1:9" x14ac:dyDescent="0.3">
      <c r="C274" s="2" t="s">
        <v>640</v>
      </c>
      <c r="D274" s="6" t="s">
        <v>641</v>
      </c>
      <c r="E274" s="6">
        <v>1</v>
      </c>
      <c r="F274" s="8">
        <v>0</v>
      </c>
      <c r="G274" s="8">
        <v>0</v>
      </c>
      <c r="H274" s="7" t="s">
        <v>556</v>
      </c>
      <c r="I274" s="91">
        <v>44365</v>
      </c>
    </row>
    <row r="275" spans="1:9" x14ac:dyDescent="0.3">
      <c r="C275" s="2" t="s">
        <v>642</v>
      </c>
      <c r="D275" s="6" t="s">
        <v>558</v>
      </c>
      <c r="E275" s="6">
        <v>1</v>
      </c>
      <c r="F275" s="8">
        <v>0</v>
      </c>
      <c r="G275" s="8">
        <v>0</v>
      </c>
      <c r="H275" s="7" t="s">
        <v>556</v>
      </c>
      <c r="I275" s="91">
        <v>44365</v>
      </c>
    </row>
    <row r="276" spans="1:9" x14ac:dyDescent="0.3">
      <c r="C276" s="2" t="s">
        <v>643</v>
      </c>
      <c r="D276" s="6" t="s">
        <v>558</v>
      </c>
      <c r="E276" s="6">
        <v>1</v>
      </c>
      <c r="F276" s="8">
        <v>0</v>
      </c>
      <c r="G276" s="8">
        <v>0</v>
      </c>
      <c r="H276" s="7" t="s">
        <v>556</v>
      </c>
      <c r="I276" s="91">
        <v>44365</v>
      </c>
    </row>
    <row r="277" spans="1:9" x14ac:dyDescent="0.3">
      <c r="C277" s="2" t="s">
        <v>644</v>
      </c>
      <c r="D277" s="6" t="s">
        <v>645</v>
      </c>
      <c r="E277" s="6">
        <v>1</v>
      </c>
      <c r="F277" s="8">
        <v>0</v>
      </c>
      <c r="G277" s="8">
        <v>0</v>
      </c>
      <c r="H277" s="7" t="s">
        <v>574</v>
      </c>
      <c r="I277" s="91">
        <v>44385</v>
      </c>
    </row>
    <row r="278" spans="1:9" x14ac:dyDescent="0.3">
      <c r="C278" s="2" t="s">
        <v>646</v>
      </c>
      <c r="D278" s="6" t="s">
        <v>555</v>
      </c>
      <c r="E278" s="6">
        <v>1</v>
      </c>
      <c r="F278" s="8">
        <v>0</v>
      </c>
      <c r="G278" s="8">
        <v>0</v>
      </c>
      <c r="H278" s="7" t="s">
        <v>556</v>
      </c>
      <c r="I278" s="91">
        <v>44365</v>
      </c>
    </row>
    <row r="279" spans="1:9" x14ac:dyDescent="0.3">
      <c r="C279" s="2" t="s">
        <v>647</v>
      </c>
      <c r="D279" s="6" t="s">
        <v>555</v>
      </c>
      <c r="E279" s="6">
        <v>1</v>
      </c>
      <c r="F279" s="8">
        <v>0</v>
      </c>
      <c r="G279" s="8">
        <v>0</v>
      </c>
      <c r="H279" s="7" t="s">
        <v>556</v>
      </c>
      <c r="I279" s="91">
        <v>44365</v>
      </c>
    </row>
    <row r="280" spans="1:9" x14ac:dyDescent="0.3">
      <c r="C280" s="2" t="s">
        <v>648</v>
      </c>
      <c r="D280" s="6" t="s">
        <v>606</v>
      </c>
      <c r="E280" s="6">
        <v>1</v>
      </c>
      <c r="F280" s="8">
        <v>0</v>
      </c>
      <c r="G280" s="8">
        <v>0</v>
      </c>
      <c r="H280" s="7" t="s">
        <v>556</v>
      </c>
      <c r="I280" s="91">
        <v>44365</v>
      </c>
    </row>
    <row r="281" spans="1:9" x14ac:dyDescent="0.3">
      <c r="A281" s="92"/>
      <c r="B281" s="93" t="s">
        <v>649</v>
      </c>
      <c r="C281" s="93" t="s">
        <v>650</v>
      </c>
      <c r="D281" s="94" t="s">
        <v>651</v>
      </c>
      <c r="E281" s="94"/>
      <c r="F281" s="95"/>
      <c r="G281" s="95"/>
      <c r="H281" s="96" t="s">
        <v>422</v>
      </c>
      <c r="I281" s="97">
        <v>449022</v>
      </c>
    </row>
    <row r="282" spans="1:9" x14ac:dyDescent="0.3">
      <c r="C282" s="2" t="s">
        <v>652</v>
      </c>
      <c r="D282" s="6" t="s">
        <v>653</v>
      </c>
      <c r="E282" s="6">
        <v>1</v>
      </c>
      <c r="F282" s="8">
        <v>0</v>
      </c>
      <c r="G282" s="8">
        <v>0</v>
      </c>
      <c r="H282" s="7" t="s">
        <v>654</v>
      </c>
      <c r="I282" s="91">
        <v>44351</v>
      </c>
    </row>
    <row r="283" spans="1:9" x14ac:dyDescent="0.3">
      <c r="C283" s="2" t="s">
        <v>1073</v>
      </c>
      <c r="D283" s="6" t="s">
        <v>1074</v>
      </c>
      <c r="E283" s="6">
        <v>1</v>
      </c>
      <c r="F283" s="8">
        <v>0</v>
      </c>
      <c r="G283" s="8">
        <v>0</v>
      </c>
      <c r="H283" s="7" t="s">
        <v>1075</v>
      </c>
      <c r="I283" s="91">
        <v>44399</v>
      </c>
    </row>
    <row r="284" spans="1:9" x14ac:dyDescent="0.3">
      <c r="A284" s="92"/>
      <c r="B284" s="93" t="s">
        <v>655</v>
      </c>
      <c r="C284" s="93" t="s">
        <v>656</v>
      </c>
      <c r="D284" s="94" t="s">
        <v>657</v>
      </c>
      <c r="E284" s="94"/>
      <c r="F284" s="95"/>
      <c r="G284" s="95"/>
      <c r="H284" s="96" t="s">
        <v>422</v>
      </c>
      <c r="I284" s="97">
        <v>449022</v>
      </c>
    </row>
    <row r="285" spans="1:9" x14ac:dyDescent="0.3">
      <c r="C285" s="2" t="s">
        <v>658</v>
      </c>
      <c r="D285" s="6" t="s">
        <v>659</v>
      </c>
      <c r="E285" s="6">
        <v>6</v>
      </c>
      <c r="F285" s="8">
        <v>0</v>
      </c>
      <c r="G285" s="8">
        <v>0</v>
      </c>
      <c r="H285" s="7" t="s">
        <v>660</v>
      </c>
      <c r="I285" s="91">
        <v>44365</v>
      </c>
    </row>
    <row r="286" spans="1:9" x14ac:dyDescent="0.3">
      <c r="C286" s="2" t="s">
        <v>661</v>
      </c>
      <c r="D286" s="6" t="s">
        <v>662</v>
      </c>
      <c r="E286" s="6">
        <v>6</v>
      </c>
      <c r="F286" s="8">
        <v>0</v>
      </c>
      <c r="G286" s="8">
        <v>0</v>
      </c>
      <c r="H286" s="7" t="s">
        <v>660</v>
      </c>
      <c r="I286" s="91">
        <v>44365</v>
      </c>
    </row>
    <row r="287" spans="1:9" x14ac:dyDescent="0.3">
      <c r="C287" s="2" t="s">
        <v>663</v>
      </c>
      <c r="D287" s="6" t="s">
        <v>664</v>
      </c>
      <c r="E287" s="6">
        <v>6</v>
      </c>
      <c r="F287" s="8">
        <v>0</v>
      </c>
      <c r="G287" s="8">
        <v>0</v>
      </c>
      <c r="H287" s="7" t="s">
        <v>660</v>
      </c>
      <c r="I287" s="91">
        <v>44365</v>
      </c>
    </row>
    <row r="288" spans="1:9" x14ac:dyDescent="0.3">
      <c r="A288" s="92"/>
      <c r="B288" s="93" t="s">
        <v>665</v>
      </c>
      <c r="C288" s="93" t="s">
        <v>666</v>
      </c>
      <c r="D288" s="94" t="s">
        <v>667</v>
      </c>
      <c r="E288" s="94"/>
      <c r="F288" s="95"/>
      <c r="G288" s="95"/>
      <c r="H288" s="96" t="s">
        <v>422</v>
      </c>
      <c r="I288" s="97">
        <v>449022</v>
      </c>
    </row>
    <row r="289" spans="1:9" x14ac:dyDescent="0.3">
      <c r="C289" s="2" t="s">
        <v>389</v>
      </c>
      <c r="D289" s="6" t="s">
        <v>390</v>
      </c>
      <c r="E289" s="6">
        <v>6</v>
      </c>
      <c r="F289" s="8">
        <v>0</v>
      </c>
      <c r="G289" s="8">
        <v>0</v>
      </c>
      <c r="I289" s="91"/>
    </row>
    <row r="290" spans="1:9" x14ac:dyDescent="0.3">
      <c r="A290" s="92"/>
      <c r="B290" s="93" t="s">
        <v>668</v>
      </c>
      <c r="C290" s="93" t="s">
        <v>669</v>
      </c>
      <c r="D290" s="94" t="s">
        <v>670</v>
      </c>
      <c r="E290" s="94"/>
      <c r="F290" s="95"/>
      <c r="G290" s="95"/>
      <c r="H290" s="96" t="s">
        <v>422</v>
      </c>
      <c r="I290" s="97">
        <v>449022</v>
      </c>
    </row>
    <row r="291" spans="1:9" x14ac:dyDescent="0.3">
      <c r="C291" s="2" t="s">
        <v>671</v>
      </c>
      <c r="D291" s="6" t="s">
        <v>672</v>
      </c>
      <c r="E291" s="6">
        <v>1</v>
      </c>
      <c r="F291" s="8">
        <v>0</v>
      </c>
      <c r="G291" s="8">
        <v>0</v>
      </c>
      <c r="H291" s="7" t="s">
        <v>660</v>
      </c>
      <c r="I291" s="91">
        <v>44365</v>
      </c>
    </row>
    <row r="292" spans="1:9" x14ac:dyDescent="0.3">
      <c r="C292" s="2" t="s">
        <v>673</v>
      </c>
      <c r="D292" s="6" t="s">
        <v>674</v>
      </c>
      <c r="E292" s="6">
        <v>1</v>
      </c>
      <c r="F292" s="8">
        <v>0</v>
      </c>
      <c r="G292" s="8">
        <v>0</v>
      </c>
      <c r="H292" s="7" t="s">
        <v>660</v>
      </c>
      <c r="I292" s="91">
        <v>44365</v>
      </c>
    </row>
    <row r="293" spans="1:9" x14ac:dyDescent="0.3">
      <c r="C293" s="2" t="s">
        <v>675</v>
      </c>
      <c r="D293" s="6" t="s">
        <v>555</v>
      </c>
      <c r="E293" s="6">
        <v>1</v>
      </c>
      <c r="F293" s="8">
        <v>0</v>
      </c>
      <c r="G293" s="8">
        <v>0</v>
      </c>
      <c r="H293" s="7" t="s">
        <v>556</v>
      </c>
      <c r="I293" s="91">
        <v>44365</v>
      </c>
    </row>
    <row r="294" spans="1:9" x14ac:dyDescent="0.3">
      <c r="A294" s="92"/>
      <c r="B294" s="93" t="s">
        <v>1076</v>
      </c>
      <c r="C294" s="93" t="s">
        <v>1077</v>
      </c>
      <c r="D294" s="94" t="s">
        <v>1078</v>
      </c>
      <c r="E294" s="94"/>
      <c r="F294" s="95"/>
      <c r="G294" s="95"/>
      <c r="H294" s="96" t="s">
        <v>422</v>
      </c>
      <c r="I294" s="97">
        <v>449022</v>
      </c>
    </row>
    <row r="295" spans="1:9" x14ac:dyDescent="0.3">
      <c r="C295" s="2" t="s">
        <v>1079</v>
      </c>
      <c r="D295" s="6" t="s">
        <v>1080</v>
      </c>
      <c r="E295" s="6">
        <v>4</v>
      </c>
      <c r="F295" s="8">
        <v>0</v>
      </c>
      <c r="G295" s="8">
        <v>0</v>
      </c>
      <c r="H295" s="7" t="s">
        <v>1081</v>
      </c>
      <c r="I295" s="91">
        <v>44365</v>
      </c>
    </row>
    <row r="296" spans="1:9" x14ac:dyDescent="0.3">
      <c r="C296" s="2" t="s">
        <v>1082</v>
      </c>
      <c r="D296" s="6" t="s">
        <v>1083</v>
      </c>
      <c r="E296" s="6">
        <v>8</v>
      </c>
      <c r="F296" s="8">
        <v>0</v>
      </c>
      <c r="G296" s="8">
        <v>0</v>
      </c>
      <c r="H296" s="7" t="s">
        <v>1081</v>
      </c>
      <c r="I296" s="91">
        <v>44365</v>
      </c>
    </row>
    <row r="297" spans="1:9" x14ac:dyDescent="0.3">
      <c r="C297" s="2" t="s">
        <v>1084</v>
      </c>
      <c r="D297" s="6" t="s">
        <v>1085</v>
      </c>
      <c r="E297" s="6">
        <v>2</v>
      </c>
      <c r="F297" s="8">
        <v>0</v>
      </c>
      <c r="G297" s="8">
        <v>0</v>
      </c>
      <c r="I297" s="91"/>
    </row>
    <row r="298" spans="1:9" x14ac:dyDescent="0.3">
      <c r="C298" s="2" t="s">
        <v>1086</v>
      </c>
      <c r="D298" s="6" t="s">
        <v>1087</v>
      </c>
      <c r="E298" s="6">
        <v>1</v>
      </c>
      <c r="F298" s="8">
        <v>0</v>
      </c>
      <c r="G298" s="8">
        <v>0</v>
      </c>
      <c r="I298" s="91"/>
    </row>
    <row r="299" spans="1:9" x14ac:dyDescent="0.3">
      <c r="C299" s="2" t="s">
        <v>1088</v>
      </c>
      <c r="D299" s="6" t="s">
        <v>1089</v>
      </c>
      <c r="E299" s="6">
        <v>1</v>
      </c>
      <c r="F299" s="8">
        <v>0</v>
      </c>
      <c r="G299" s="8">
        <v>0</v>
      </c>
      <c r="I299" s="91"/>
    </row>
    <row r="300" spans="1:9" x14ac:dyDescent="0.3">
      <c r="C300" s="2" t="s">
        <v>1090</v>
      </c>
      <c r="D300" s="6" t="s">
        <v>1091</v>
      </c>
      <c r="E300" s="6">
        <v>1</v>
      </c>
      <c r="F300" s="8">
        <v>0</v>
      </c>
      <c r="G300" s="8">
        <v>0</v>
      </c>
      <c r="H300" s="7" t="s">
        <v>1081</v>
      </c>
      <c r="I300" s="91">
        <v>44365</v>
      </c>
    </row>
    <row r="301" spans="1:9" x14ac:dyDescent="0.3">
      <c r="A301" s="92"/>
      <c r="B301" s="93" t="s">
        <v>1092</v>
      </c>
      <c r="C301" s="93" t="s">
        <v>1093</v>
      </c>
      <c r="D301" s="94" t="s">
        <v>1094</v>
      </c>
      <c r="E301" s="94"/>
      <c r="F301" s="95"/>
      <c r="G301" s="95"/>
      <c r="H301" s="96" t="s">
        <v>422</v>
      </c>
      <c r="I301" s="97">
        <v>449022</v>
      </c>
    </row>
    <row r="302" spans="1:9" x14ac:dyDescent="0.3">
      <c r="C302" s="2" t="s">
        <v>1095</v>
      </c>
      <c r="D302" s="6" t="s">
        <v>1096</v>
      </c>
      <c r="E302" s="6">
        <v>1</v>
      </c>
      <c r="F302" s="8">
        <v>0</v>
      </c>
      <c r="G302" s="8">
        <v>0</v>
      </c>
      <c r="I302" s="91"/>
    </row>
    <row r="303" spans="1:9" x14ac:dyDescent="0.3">
      <c r="A303" s="92"/>
      <c r="B303" s="93" t="s">
        <v>1097</v>
      </c>
      <c r="C303" s="93" t="s">
        <v>1098</v>
      </c>
      <c r="D303" s="94" t="s">
        <v>1099</v>
      </c>
      <c r="E303" s="94"/>
      <c r="F303" s="95"/>
      <c r="G303" s="95"/>
      <c r="H303" s="96" t="s">
        <v>422</v>
      </c>
      <c r="I303" s="97">
        <v>449022</v>
      </c>
    </row>
    <row r="304" spans="1:9" x14ac:dyDescent="0.3">
      <c r="C304" s="2" t="s">
        <v>1100</v>
      </c>
      <c r="D304" s="6" t="s">
        <v>1101</v>
      </c>
      <c r="E304" s="6">
        <v>4</v>
      </c>
      <c r="F304" s="8">
        <v>0</v>
      </c>
      <c r="G304" s="8">
        <v>0</v>
      </c>
      <c r="I304" s="91"/>
    </row>
    <row r="305" spans="3:9" x14ac:dyDescent="0.3">
      <c r="C305" s="2" t="s">
        <v>1102</v>
      </c>
      <c r="D305" s="6" t="s">
        <v>1103</v>
      </c>
      <c r="E305" s="6">
        <v>1</v>
      </c>
      <c r="F305" s="8">
        <v>0</v>
      </c>
      <c r="G305" s="8">
        <v>0</v>
      </c>
      <c r="I305" s="91"/>
    </row>
    <row r="306" spans="3:9" x14ac:dyDescent="0.3">
      <c r="C306" s="2" t="s">
        <v>1104</v>
      </c>
      <c r="D306" s="6" t="s">
        <v>1105</v>
      </c>
      <c r="E306" s="6">
        <v>1</v>
      </c>
      <c r="F306" s="8">
        <v>0</v>
      </c>
      <c r="G306" s="8">
        <v>0</v>
      </c>
      <c r="I306" s="91"/>
    </row>
    <row r="307" spans="3:9" x14ac:dyDescent="0.3">
      <c r="C307" s="2" t="s">
        <v>1106</v>
      </c>
      <c r="D307" s="6" t="s">
        <v>1107</v>
      </c>
      <c r="E307" s="6">
        <v>1</v>
      </c>
      <c r="F307" s="8">
        <v>0</v>
      </c>
      <c r="G307" s="8">
        <v>0</v>
      </c>
      <c r="I307" s="91"/>
    </row>
    <row r="308" spans="3:9" x14ac:dyDescent="0.3">
      <c r="C308" s="2" t="s">
        <v>1108</v>
      </c>
      <c r="D308" s="6" t="s">
        <v>1109</v>
      </c>
      <c r="E308" s="6">
        <v>1</v>
      </c>
      <c r="F308" s="8">
        <v>0</v>
      </c>
      <c r="G308" s="8">
        <v>0</v>
      </c>
      <c r="I308" s="91"/>
    </row>
    <row r="309" spans="3:9" x14ac:dyDescent="0.3">
      <c r="C309" s="2" t="s">
        <v>1110</v>
      </c>
      <c r="D309" s="6" t="s">
        <v>1111</v>
      </c>
      <c r="E309" s="6">
        <v>1</v>
      </c>
      <c r="F309" s="8">
        <v>0</v>
      </c>
      <c r="G309" s="8">
        <v>0</v>
      </c>
      <c r="I309" s="91"/>
    </row>
  </sheetData>
  <mergeCells count="1">
    <mergeCell ref="A1:I1"/>
  </mergeCells>
  <pageMargins left="0.7" right="0.7" top="0.75" bottom="0.75" header="0.3" footer="0.3"/>
  <pageSetup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9AEB85-EDDD-4FE7-9AE4-51E0071A1855}">
  <sheetPr codeName="Sheet4"/>
  <dimension ref="A1:AG100"/>
  <sheetViews>
    <sheetView zoomScale="85" zoomScaleNormal="85" workbookViewId="0">
      <pane xSplit="2" ySplit="2" topLeftCell="C3" activePane="bottomRight" state="frozen"/>
      <selection pane="topRight" activeCell="C1" sqref="C1"/>
      <selection pane="bottomLeft" activeCell="A3" sqref="A3"/>
      <selection pane="bottomRight" activeCell="G21" sqref="G21"/>
    </sheetView>
  </sheetViews>
  <sheetFormatPr defaultRowHeight="14.4" x14ac:dyDescent="0.3"/>
  <cols>
    <col min="1" max="1" width="5.5546875" style="57" bestFit="1" customWidth="1"/>
    <col min="2" max="2" width="19.5546875" style="72" customWidth="1"/>
    <col min="3" max="3" width="5.5546875" style="81" bestFit="1" customWidth="1"/>
    <col min="4" max="4" width="21.44140625" customWidth="1"/>
    <col min="5" max="5" width="5.5546875" style="59" bestFit="1" customWidth="1"/>
    <col min="6" max="6" width="21.5546875" customWidth="1"/>
    <col min="7" max="7" width="5.5546875" style="59" bestFit="1" customWidth="1"/>
    <col min="8" max="8" width="21.44140625" customWidth="1"/>
    <col min="9" max="9" width="5.5546875" style="59" bestFit="1" customWidth="1"/>
    <col min="10" max="10" width="21.88671875" customWidth="1"/>
    <col min="11" max="11" width="5.5546875" style="59" bestFit="1" customWidth="1"/>
    <col min="12" max="12" width="21.44140625" customWidth="1"/>
    <col min="13" max="13" width="5.5546875" style="59" bestFit="1" customWidth="1"/>
    <col min="14" max="14" width="21.44140625" customWidth="1"/>
    <col min="15" max="15" width="5.5546875" style="59" bestFit="1" customWidth="1"/>
    <col min="16" max="16" width="21.44140625" customWidth="1"/>
    <col min="17" max="17" width="5.5546875" style="59" bestFit="1" customWidth="1"/>
    <col min="18" max="18" width="21.44140625" customWidth="1"/>
    <col min="19" max="19" width="5.5546875" style="59" bestFit="1" customWidth="1"/>
    <col min="20" max="20" width="21.109375" customWidth="1"/>
    <col min="21" max="21" width="5.5546875" style="59" bestFit="1" customWidth="1"/>
    <col min="22" max="22" width="21.109375" customWidth="1"/>
    <col min="23" max="23" width="5.5546875" style="59" bestFit="1" customWidth="1"/>
    <col min="24" max="24" width="21.109375" customWidth="1"/>
    <col min="25" max="25" width="5.5546875" style="59" bestFit="1" customWidth="1"/>
    <col min="26" max="26" width="21.109375" customWidth="1"/>
    <col min="27" max="27" width="5.5546875" style="58" bestFit="1" customWidth="1"/>
    <col min="28" max="28" width="21.109375" customWidth="1"/>
    <col min="29" max="29" width="5.5546875" style="59" bestFit="1" customWidth="1"/>
    <col min="30" max="30" width="21.109375" customWidth="1"/>
    <col min="31" max="31" width="5.5546875" style="59" bestFit="1" customWidth="1"/>
    <col min="32" max="32" width="21.109375" customWidth="1"/>
  </cols>
  <sheetData>
    <row r="1" spans="1:32" s="26" customFormat="1" x14ac:dyDescent="0.3">
      <c r="A1" s="103" t="s">
        <v>78</v>
      </c>
      <c r="B1" s="122"/>
      <c r="C1" s="102" t="s">
        <v>79</v>
      </c>
      <c r="D1" s="103"/>
      <c r="E1" s="103"/>
      <c r="F1" s="103"/>
      <c r="G1" s="103"/>
      <c r="H1" s="103"/>
      <c r="I1" s="103"/>
      <c r="J1" s="103"/>
      <c r="K1" s="103"/>
      <c r="L1" s="103"/>
      <c r="M1" s="103"/>
      <c r="N1" s="103"/>
      <c r="O1" s="103"/>
      <c r="P1" s="103"/>
      <c r="Q1" s="103"/>
      <c r="R1" s="103"/>
      <c r="S1" s="103"/>
      <c r="T1" s="103"/>
      <c r="U1" s="103"/>
      <c r="V1" s="103"/>
      <c r="W1" s="103"/>
      <c r="X1" s="103"/>
      <c r="Y1" s="103"/>
      <c r="Z1" s="122"/>
      <c r="AA1" s="102" t="s">
        <v>80</v>
      </c>
      <c r="AB1" s="103"/>
      <c r="AC1" s="103"/>
      <c r="AD1" s="103"/>
      <c r="AE1" s="103"/>
      <c r="AF1" s="103"/>
    </row>
    <row r="2" spans="1:32" s="26" customFormat="1" x14ac:dyDescent="0.3">
      <c r="A2" s="103" t="s">
        <v>81</v>
      </c>
      <c r="B2" s="122"/>
      <c r="C2" s="102" t="s">
        <v>181</v>
      </c>
      <c r="D2" s="103"/>
      <c r="E2" s="103" t="s">
        <v>182</v>
      </c>
      <c r="F2" s="103"/>
      <c r="G2" s="103" t="s">
        <v>183</v>
      </c>
      <c r="H2" s="103"/>
      <c r="I2" s="103" t="s">
        <v>184</v>
      </c>
      <c r="J2" s="103"/>
      <c r="K2" s="103" t="s">
        <v>171</v>
      </c>
      <c r="L2" s="103"/>
      <c r="M2" s="103" t="s">
        <v>172</v>
      </c>
      <c r="N2" s="103"/>
      <c r="O2" s="103" t="s">
        <v>173</v>
      </c>
      <c r="P2" s="103"/>
      <c r="Q2" s="103" t="s">
        <v>185</v>
      </c>
      <c r="R2" s="103"/>
      <c r="S2" s="103" t="s">
        <v>178</v>
      </c>
      <c r="T2" s="103"/>
      <c r="U2" s="103" t="s">
        <v>189</v>
      </c>
      <c r="V2" s="103"/>
      <c r="W2" s="103" t="s">
        <v>179</v>
      </c>
      <c r="X2" s="103"/>
      <c r="Y2" s="103" t="s">
        <v>180</v>
      </c>
      <c r="Z2" s="122"/>
      <c r="AA2" s="102" t="s">
        <v>186</v>
      </c>
      <c r="AB2" s="103"/>
      <c r="AC2" s="103" t="s">
        <v>187</v>
      </c>
      <c r="AD2" s="103"/>
      <c r="AE2" s="103" t="s">
        <v>188</v>
      </c>
      <c r="AF2" s="103"/>
    </row>
    <row r="3" spans="1:32" s="26" customFormat="1" x14ac:dyDescent="0.3">
      <c r="A3" s="27" t="s">
        <v>82</v>
      </c>
      <c r="B3" s="28" t="s">
        <v>62</v>
      </c>
      <c r="C3" s="73" t="s">
        <v>82</v>
      </c>
      <c r="D3" s="28" t="s">
        <v>62</v>
      </c>
      <c r="E3" s="27" t="s">
        <v>82</v>
      </c>
      <c r="F3" s="28" t="s">
        <v>62</v>
      </c>
      <c r="G3" s="27" t="s">
        <v>82</v>
      </c>
      <c r="H3" s="28" t="s">
        <v>62</v>
      </c>
      <c r="I3" s="27" t="s">
        <v>82</v>
      </c>
      <c r="J3" s="28" t="s">
        <v>62</v>
      </c>
      <c r="K3" s="27" t="s">
        <v>82</v>
      </c>
      <c r="L3" s="28" t="s">
        <v>62</v>
      </c>
      <c r="M3" s="27" t="s">
        <v>82</v>
      </c>
      <c r="N3" s="28" t="s">
        <v>62</v>
      </c>
      <c r="O3" s="27" t="s">
        <v>82</v>
      </c>
      <c r="P3" s="28" t="s">
        <v>62</v>
      </c>
      <c r="Q3" s="27" t="s">
        <v>82</v>
      </c>
      <c r="R3" s="28" t="s">
        <v>62</v>
      </c>
      <c r="S3" s="27" t="s">
        <v>82</v>
      </c>
      <c r="T3" s="28" t="s">
        <v>62</v>
      </c>
      <c r="U3" s="27" t="s">
        <v>82</v>
      </c>
      <c r="V3" s="28" t="s">
        <v>62</v>
      </c>
      <c r="W3" s="27" t="s">
        <v>82</v>
      </c>
      <c r="X3" s="28" t="s">
        <v>62</v>
      </c>
      <c r="Y3" s="27" t="s">
        <v>82</v>
      </c>
      <c r="Z3" s="28" t="s">
        <v>62</v>
      </c>
      <c r="AA3" s="29" t="s">
        <v>82</v>
      </c>
      <c r="AB3" s="28" t="s">
        <v>62</v>
      </c>
      <c r="AC3" s="27" t="s">
        <v>82</v>
      </c>
      <c r="AD3" s="28" t="s">
        <v>62</v>
      </c>
      <c r="AE3" s="27" t="s">
        <v>82</v>
      </c>
      <c r="AF3" s="28" t="s">
        <v>62</v>
      </c>
    </row>
    <row r="4" spans="1:32" x14ac:dyDescent="0.3">
      <c r="A4" s="30">
        <v>10</v>
      </c>
      <c r="B4" s="66" t="s">
        <v>83</v>
      </c>
      <c r="C4" s="74">
        <v>10</v>
      </c>
      <c r="D4" s="31" t="s">
        <v>83</v>
      </c>
      <c r="E4" s="33">
        <v>10</v>
      </c>
      <c r="F4" s="31" t="s">
        <v>83</v>
      </c>
      <c r="G4" s="33">
        <v>10</v>
      </c>
      <c r="H4" s="31" t="s">
        <v>83</v>
      </c>
      <c r="I4" s="33">
        <v>10</v>
      </c>
      <c r="J4" s="31" t="s">
        <v>83</v>
      </c>
      <c r="K4" s="33">
        <v>10</v>
      </c>
      <c r="L4" s="31" t="s">
        <v>83</v>
      </c>
      <c r="M4" s="33">
        <v>10</v>
      </c>
      <c r="N4" s="31" t="s">
        <v>83</v>
      </c>
      <c r="O4" s="33">
        <v>10</v>
      </c>
      <c r="P4" s="31" t="s">
        <v>83</v>
      </c>
      <c r="Q4" s="33">
        <v>10</v>
      </c>
      <c r="R4" s="31" t="s">
        <v>83</v>
      </c>
      <c r="S4" s="33">
        <v>10</v>
      </c>
      <c r="T4" s="31" t="s">
        <v>83</v>
      </c>
      <c r="U4" s="33">
        <v>10</v>
      </c>
      <c r="V4" s="31" t="s">
        <v>83</v>
      </c>
      <c r="W4" s="33">
        <v>10</v>
      </c>
      <c r="X4" s="31" t="s">
        <v>83</v>
      </c>
      <c r="Y4" s="33">
        <v>10</v>
      </c>
      <c r="Z4" s="31" t="s">
        <v>83</v>
      </c>
      <c r="AA4" s="32">
        <v>10</v>
      </c>
      <c r="AB4" s="31" t="s">
        <v>83</v>
      </c>
      <c r="AC4" s="33">
        <v>10</v>
      </c>
      <c r="AD4" s="31" t="s">
        <v>83</v>
      </c>
      <c r="AE4" s="33">
        <v>10</v>
      </c>
      <c r="AF4" s="31" t="s">
        <v>83</v>
      </c>
    </row>
    <row r="5" spans="1:32" x14ac:dyDescent="0.3">
      <c r="A5" s="85">
        <v>20</v>
      </c>
      <c r="B5" s="84" t="s">
        <v>92</v>
      </c>
      <c r="C5" s="75">
        <v>20</v>
      </c>
      <c r="D5" s="36" t="s">
        <v>85</v>
      </c>
      <c r="E5" s="37">
        <v>20</v>
      </c>
      <c r="F5" s="36" t="s">
        <v>85</v>
      </c>
      <c r="G5" s="37">
        <v>20</v>
      </c>
      <c r="H5" s="36" t="s">
        <v>85</v>
      </c>
      <c r="I5" s="37">
        <v>20</v>
      </c>
      <c r="J5" s="36" t="s">
        <v>85</v>
      </c>
      <c r="K5" s="33">
        <v>15</v>
      </c>
      <c r="L5" s="31" t="s">
        <v>86</v>
      </c>
      <c r="M5" s="33">
        <v>15</v>
      </c>
      <c r="N5" s="31" t="s">
        <v>86</v>
      </c>
      <c r="O5" s="33">
        <v>15</v>
      </c>
      <c r="P5" s="31" t="s">
        <v>86</v>
      </c>
      <c r="Q5" s="37">
        <v>20</v>
      </c>
      <c r="R5" s="36" t="s">
        <v>85</v>
      </c>
      <c r="S5" s="37">
        <v>20</v>
      </c>
      <c r="T5" s="36" t="s">
        <v>85</v>
      </c>
      <c r="U5" s="37">
        <v>20</v>
      </c>
      <c r="V5" s="36" t="s">
        <v>85</v>
      </c>
      <c r="W5" s="37">
        <v>20</v>
      </c>
      <c r="X5" s="36" t="s">
        <v>87</v>
      </c>
      <c r="Y5" s="33">
        <v>15</v>
      </c>
      <c r="Z5" s="31" t="s">
        <v>86</v>
      </c>
      <c r="AA5" s="38">
        <v>31</v>
      </c>
      <c r="AB5" s="35" t="s">
        <v>88</v>
      </c>
      <c r="AC5" s="39">
        <v>31</v>
      </c>
      <c r="AD5" s="35" t="s">
        <v>89</v>
      </c>
      <c r="AE5" s="39">
        <v>31</v>
      </c>
      <c r="AF5" s="35" t="s">
        <v>90</v>
      </c>
    </row>
    <row r="6" spans="1:32" x14ac:dyDescent="0.3">
      <c r="A6" s="34">
        <v>31</v>
      </c>
      <c r="B6" s="67" t="s">
        <v>84</v>
      </c>
      <c r="C6" s="75">
        <v>30</v>
      </c>
      <c r="D6" s="36" t="s">
        <v>92</v>
      </c>
      <c r="E6" s="37">
        <v>30</v>
      </c>
      <c r="F6" s="36" t="s">
        <v>92</v>
      </c>
      <c r="G6" s="37">
        <v>30</v>
      </c>
      <c r="H6" s="36" t="s">
        <v>92</v>
      </c>
      <c r="I6" s="37">
        <v>30</v>
      </c>
      <c r="J6" s="36" t="s">
        <v>92</v>
      </c>
      <c r="K6" s="33">
        <v>16</v>
      </c>
      <c r="L6" s="31" t="s">
        <v>93</v>
      </c>
      <c r="M6" s="33">
        <v>16</v>
      </c>
      <c r="N6" s="31" t="s">
        <v>93</v>
      </c>
      <c r="O6" s="33">
        <v>16</v>
      </c>
      <c r="P6" s="31" t="s">
        <v>93</v>
      </c>
      <c r="Q6" s="37">
        <v>30</v>
      </c>
      <c r="R6" s="36" t="s">
        <v>92</v>
      </c>
      <c r="S6" s="37">
        <v>30</v>
      </c>
      <c r="T6" s="36" t="s">
        <v>92</v>
      </c>
      <c r="U6" s="37">
        <v>30</v>
      </c>
      <c r="V6" s="36" t="s">
        <v>92</v>
      </c>
      <c r="W6" s="37">
        <v>30</v>
      </c>
      <c r="X6" s="36" t="s">
        <v>92</v>
      </c>
      <c r="Y6" s="33">
        <v>16</v>
      </c>
      <c r="Z6" s="31" t="s">
        <v>93</v>
      </c>
      <c r="AA6" s="40">
        <v>41</v>
      </c>
      <c r="AB6" s="41" t="s">
        <v>94</v>
      </c>
      <c r="AC6" s="39">
        <v>32</v>
      </c>
      <c r="AD6" s="35" t="s">
        <v>95</v>
      </c>
      <c r="AE6" s="39">
        <v>32</v>
      </c>
      <c r="AF6" s="35" t="s">
        <v>96</v>
      </c>
    </row>
    <row r="7" spans="1:32" x14ac:dyDescent="0.3">
      <c r="A7" s="34">
        <v>32</v>
      </c>
      <c r="B7" s="67" t="s">
        <v>91</v>
      </c>
      <c r="C7" s="76">
        <v>41</v>
      </c>
      <c r="D7" s="35" t="s">
        <v>98</v>
      </c>
      <c r="E7" s="39">
        <v>40</v>
      </c>
      <c r="F7" s="35" t="s">
        <v>99</v>
      </c>
      <c r="G7" s="39">
        <v>41</v>
      </c>
      <c r="H7" s="35" t="s">
        <v>98</v>
      </c>
      <c r="I7" s="39">
        <v>41</v>
      </c>
      <c r="J7" s="35" t="s">
        <v>100</v>
      </c>
      <c r="K7" s="33">
        <v>17</v>
      </c>
      <c r="L7" s="31" t="s">
        <v>101</v>
      </c>
      <c r="M7" s="33">
        <v>17</v>
      </c>
      <c r="N7" s="31" t="s">
        <v>101</v>
      </c>
      <c r="O7" s="33">
        <v>17</v>
      </c>
      <c r="P7" s="31" t="s">
        <v>101</v>
      </c>
      <c r="Q7" s="39">
        <v>41</v>
      </c>
      <c r="R7" s="35" t="s">
        <v>98</v>
      </c>
      <c r="S7" s="39">
        <v>41</v>
      </c>
      <c r="T7" s="35" t="s">
        <v>102</v>
      </c>
      <c r="U7" s="39">
        <v>50</v>
      </c>
      <c r="V7" s="35" t="s">
        <v>99</v>
      </c>
      <c r="W7" s="33">
        <v>40</v>
      </c>
      <c r="X7" s="31" t="s">
        <v>103</v>
      </c>
      <c r="Y7" s="33">
        <v>17</v>
      </c>
      <c r="Z7" s="31" t="s">
        <v>101</v>
      </c>
      <c r="AA7" s="40">
        <v>42</v>
      </c>
      <c r="AB7" s="41" t="s">
        <v>104</v>
      </c>
      <c r="AC7" s="39">
        <v>33</v>
      </c>
      <c r="AD7" s="35" t="s">
        <v>105</v>
      </c>
      <c r="AE7" s="39">
        <v>33</v>
      </c>
      <c r="AF7" s="35" t="s">
        <v>106</v>
      </c>
    </row>
    <row r="8" spans="1:32" x14ac:dyDescent="0.3">
      <c r="A8" s="34">
        <v>33</v>
      </c>
      <c r="B8" s="67" t="s">
        <v>97</v>
      </c>
      <c r="C8" s="76">
        <v>42</v>
      </c>
      <c r="D8" s="35" t="s">
        <v>108</v>
      </c>
      <c r="E8" s="43">
        <v>50</v>
      </c>
      <c r="F8" s="41" t="s">
        <v>109</v>
      </c>
      <c r="G8" s="43">
        <v>52</v>
      </c>
      <c r="H8" s="41" t="s">
        <v>110</v>
      </c>
      <c r="I8" s="44">
        <v>42</v>
      </c>
      <c r="J8" s="45" t="s">
        <v>31</v>
      </c>
      <c r="K8" s="37">
        <v>20</v>
      </c>
      <c r="L8" s="36" t="s">
        <v>85</v>
      </c>
      <c r="M8" s="37">
        <v>20</v>
      </c>
      <c r="N8" s="36" t="s">
        <v>85</v>
      </c>
      <c r="O8" s="37">
        <v>20</v>
      </c>
      <c r="P8" s="36" t="s">
        <v>85</v>
      </c>
      <c r="Q8" s="44">
        <v>42</v>
      </c>
      <c r="R8" s="45" t="s">
        <v>111</v>
      </c>
      <c r="S8" s="44">
        <v>42</v>
      </c>
      <c r="T8" s="45" t="s">
        <v>112</v>
      </c>
      <c r="U8" s="39">
        <v>41</v>
      </c>
      <c r="V8" s="35" t="s">
        <v>102</v>
      </c>
      <c r="W8" s="46">
        <v>52</v>
      </c>
      <c r="X8" s="47" t="s">
        <v>110</v>
      </c>
      <c r="Y8" s="48">
        <v>20</v>
      </c>
      <c r="Z8" s="49" t="s">
        <v>85</v>
      </c>
      <c r="AA8" s="40">
        <v>44</v>
      </c>
      <c r="AB8" s="41" t="s">
        <v>113</v>
      </c>
      <c r="AC8" s="43">
        <v>34</v>
      </c>
      <c r="AD8" s="41" t="s">
        <v>39</v>
      </c>
      <c r="AE8" s="44">
        <v>34</v>
      </c>
      <c r="AF8" s="45" t="s">
        <v>114</v>
      </c>
    </row>
    <row r="9" spans="1:32" x14ac:dyDescent="0.3">
      <c r="A9" s="42">
        <v>41</v>
      </c>
      <c r="B9" s="68" t="s">
        <v>107</v>
      </c>
      <c r="C9" s="76">
        <v>43</v>
      </c>
      <c r="D9" s="35" t="s">
        <v>115</v>
      </c>
      <c r="E9" s="50">
        <v>70</v>
      </c>
      <c r="F9" s="51" t="s">
        <v>116</v>
      </c>
      <c r="G9" s="43">
        <v>54</v>
      </c>
      <c r="H9" s="41" t="s">
        <v>113</v>
      </c>
      <c r="I9" s="44">
        <v>43</v>
      </c>
      <c r="J9" s="45" t="s">
        <v>32</v>
      </c>
      <c r="K9" s="37">
        <v>30</v>
      </c>
      <c r="L9" s="36" t="s">
        <v>92</v>
      </c>
      <c r="M9" s="37">
        <v>30</v>
      </c>
      <c r="N9" s="36" t="s">
        <v>92</v>
      </c>
      <c r="O9" s="37">
        <v>30</v>
      </c>
      <c r="P9" s="36" t="s">
        <v>92</v>
      </c>
      <c r="Q9" s="44">
        <v>43</v>
      </c>
      <c r="R9" s="45" t="s">
        <v>117</v>
      </c>
      <c r="S9" s="42">
        <v>52</v>
      </c>
      <c r="T9" s="41" t="s">
        <v>110</v>
      </c>
      <c r="U9" s="44">
        <v>42</v>
      </c>
      <c r="V9" s="45" t="s">
        <v>112</v>
      </c>
      <c r="W9" s="46">
        <v>54</v>
      </c>
      <c r="X9" s="47" t="s">
        <v>113</v>
      </c>
      <c r="Y9" s="48">
        <v>30</v>
      </c>
      <c r="Z9" s="49" t="s">
        <v>92</v>
      </c>
      <c r="AA9" s="38">
        <v>60</v>
      </c>
      <c r="AB9" s="35" t="s">
        <v>118</v>
      </c>
      <c r="AC9" s="43">
        <v>35</v>
      </c>
      <c r="AD9" s="41" t="s">
        <v>117</v>
      </c>
      <c r="AE9" s="44">
        <v>35</v>
      </c>
      <c r="AF9" s="45" t="s">
        <v>119</v>
      </c>
    </row>
    <row r="10" spans="1:32" x14ac:dyDescent="0.3">
      <c r="A10" s="42">
        <v>42</v>
      </c>
      <c r="B10" s="68" t="s">
        <v>104</v>
      </c>
      <c r="C10" s="77">
        <v>52</v>
      </c>
      <c r="D10" s="41" t="s">
        <v>110</v>
      </c>
      <c r="E10" s="39">
        <v>80</v>
      </c>
      <c r="F10" s="35" t="s">
        <v>120</v>
      </c>
      <c r="G10" s="50">
        <v>70</v>
      </c>
      <c r="H10" s="51" t="s">
        <v>116</v>
      </c>
      <c r="I10" s="44">
        <v>44</v>
      </c>
      <c r="J10" s="45" t="s">
        <v>121</v>
      </c>
      <c r="K10" s="37">
        <v>31</v>
      </c>
      <c r="L10" s="36" t="s">
        <v>122</v>
      </c>
      <c r="M10" s="37">
        <v>31</v>
      </c>
      <c r="N10" s="36" t="s">
        <v>122</v>
      </c>
      <c r="O10" s="37">
        <v>31</v>
      </c>
      <c r="P10" s="36" t="s">
        <v>122</v>
      </c>
      <c r="Q10" s="42">
        <v>51</v>
      </c>
      <c r="R10" s="41" t="s">
        <v>110</v>
      </c>
      <c r="S10" s="42">
        <v>54</v>
      </c>
      <c r="T10" s="41" t="s">
        <v>113</v>
      </c>
      <c r="U10" s="42">
        <v>50</v>
      </c>
      <c r="V10" s="41" t="s">
        <v>190</v>
      </c>
      <c r="W10" s="50">
        <v>70</v>
      </c>
      <c r="X10" s="51" t="s">
        <v>116</v>
      </c>
      <c r="Y10" s="48">
        <v>31</v>
      </c>
      <c r="Z10" s="49" t="s">
        <v>122</v>
      </c>
      <c r="AA10" s="52">
        <v>70</v>
      </c>
      <c r="AB10" s="51" t="s">
        <v>123</v>
      </c>
      <c r="AC10" s="39">
        <v>36</v>
      </c>
      <c r="AD10" s="35" t="s">
        <v>124</v>
      </c>
      <c r="AE10" s="44">
        <v>36</v>
      </c>
      <c r="AF10" s="45" t="s">
        <v>125</v>
      </c>
    </row>
    <row r="11" spans="1:32" x14ac:dyDescent="0.3">
      <c r="A11" s="42">
        <v>44</v>
      </c>
      <c r="B11" s="68" t="s">
        <v>113</v>
      </c>
      <c r="C11" s="77">
        <v>54</v>
      </c>
      <c r="D11" s="41" t="s">
        <v>113</v>
      </c>
      <c r="E11" s="44">
        <v>100</v>
      </c>
      <c r="F11" s="45" t="s">
        <v>126</v>
      </c>
      <c r="G11" s="39">
        <v>80</v>
      </c>
      <c r="H11" s="35" t="s">
        <v>127</v>
      </c>
      <c r="I11" s="44">
        <v>45</v>
      </c>
      <c r="J11" s="45" t="s">
        <v>33</v>
      </c>
      <c r="K11" s="37">
        <v>32</v>
      </c>
      <c r="L11" s="36" t="s">
        <v>128</v>
      </c>
      <c r="M11" s="37">
        <v>32</v>
      </c>
      <c r="N11" s="36" t="s">
        <v>128</v>
      </c>
      <c r="O11" s="37">
        <v>32</v>
      </c>
      <c r="P11" s="36" t="s">
        <v>128</v>
      </c>
      <c r="Q11" s="42">
        <v>52</v>
      </c>
      <c r="R11" s="41" t="s">
        <v>113</v>
      </c>
      <c r="S11" s="50">
        <v>70</v>
      </c>
      <c r="T11" s="51" t="s">
        <v>116</v>
      </c>
      <c r="U11" s="42">
        <v>52</v>
      </c>
      <c r="V11" s="41" t="s">
        <v>110</v>
      </c>
      <c r="W11" s="44">
        <v>80</v>
      </c>
      <c r="X11" s="45" t="s">
        <v>127</v>
      </c>
      <c r="Y11" s="48">
        <v>32</v>
      </c>
      <c r="Z11" s="49" t="s">
        <v>128</v>
      </c>
      <c r="AA11" s="38">
        <v>80</v>
      </c>
      <c r="AB11" s="35" t="s">
        <v>129</v>
      </c>
      <c r="AC11" s="43">
        <v>41</v>
      </c>
      <c r="AD11" s="41" t="s">
        <v>94</v>
      </c>
      <c r="AE11" s="44">
        <v>37</v>
      </c>
      <c r="AF11" s="45" t="s">
        <v>130</v>
      </c>
    </row>
    <row r="12" spans="1:32" x14ac:dyDescent="0.3">
      <c r="A12" s="34">
        <v>60</v>
      </c>
      <c r="B12" s="67" t="s">
        <v>118</v>
      </c>
      <c r="C12" s="78">
        <v>70</v>
      </c>
      <c r="D12" s="51" t="s">
        <v>116</v>
      </c>
      <c r="E12" s="54">
        <v>105</v>
      </c>
      <c r="F12" s="55" t="s">
        <v>131</v>
      </c>
      <c r="G12" s="39">
        <v>90</v>
      </c>
      <c r="H12" s="35" t="s">
        <v>132</v>
      </c>
      <c r="I12" s="44">
        <v>46</v>
      </c>
      <c r="J12" s="45" t="s">
        <v>133</v>
      </c>
      <c r="K12" s="37">
        <v>33</v>
      </c>
      <c r="L12" s="36" t="s">
        <v>134</v>
      </c>
      <c r="M12" s="37">
        <v>33</v>
      </c>
      <c r="N12" s="36" t="s">
        <v>134</v>
      </c>
      <c r="O12" s="37">
        <v>33</v>
      </c>
      <c r="P12" s="36" t="s">
        <v>134</v>
      </c>
      <c r="Q12" s="50">
        <v>70</v>
      </c>
      <c r="R12" s="51" t="s">
        <v>116</v>
      </c>
      <c r="S12" s="44">
        <v>80</v>
      </c>
      <c r="T12" s="45" t="s">
        <v>127</v>
      </c>
      <c r="U12" s="42">
        <v>54</v>
      </c>
      <c r="V12" s="41" t="s">
        <v>113</v>
      </c>
      <c r="W12" s="44">
        <v>90</v>
      </c>
      <c r="X12" s="45" t="s">
        <v>132</v>
      </c>
      <c r="Y12" s="48">
        <v>33</v>
      </c>
      <c r="Z12" s="49" t="s">
        <v>134</v>
      </c>
      <c r="AA12" s="32">
        <v>100</v>
      </c>
      <c r="AB12" s="31" t="s">
        <v>135</v>
      </c>
      <c r="AC12" s="43">
        <v>42</v>
      </c>
      <c r="AD12" s="41" t="s">
        <v>104</v>
      </c>
      <c r="AE12" s="43">
        <v>38</v>
      </c>
      <c r="AF12" s="41" t="s">
        <v>136</v>
      </c>
    </row>
    <row r="13" spans="1:32" x14ac:dyDescent="0.3">
      <c r="A13" s="53">
        <v>70</v>
      </c>
      <c r="B13" s="69" t="s">
        <v>123</v>
      </c>
      <c r="C13" s="76">
        <v>80</v>
      </c>
      <c r="D13" s="35" t="s">
        <v>127</v>
      </c>
      <c r="E13" s="54">
        <v>1000</v>
      </c>
      <c r="F13" s="55" t="s">
        <v>137</v>
      </c>
      <c r="G13" s="33">
        <v>100</v>
      </c>
      <c r="H13" s="31" t="s">
        <v>135</v>
      </c>
      <c r="I13" s="44">
        <v>47</v>
      </c>
      <c r="J13" s="45" t="s">
        <v>34</v>
      </c>
      <c r="K13" s="44">
        <v>41</v>
      </c>
      <c r="L13" s="45" t="s">
        <v>100</v>
      </c>
      <c r="M13" s="39">
        <v>41</v>
      </c>
      <c r="N13" s="35" t="s">
        <v>100</v>
      </c>
      <c r="O13" s="39">
        <v>41</v>
      </c>
      <c r="P13" s="35" t="s">
        <v>100</v>
      </c>
      <c r="Q13" s="39">
        <v>80</v>
      </c>
      <c r="R13" s="35" t="s">
        <v>127</v>
      </c>
      <c r="S13" s="44">
        <v>90</v>
      </c>
      <c r="T13" s="45" t="s">
        <v>132</v>
      </c>
      <c r="U13" s="50">
        <v>70</v>
      </c>
      <c r="V13" s="51" t="s">
        <v>116</v>
      </c>
      <c r="W13" s="44">
        <v>100</v>
      </c>
      <c r="X13" s="45" t="s">
        <v>126</v>
      </c>
      <c r="Y13" s="44">
        <v>40</v>
      </c>
      <c r="Z13" s="45" t="s">
        <v>103</v>
      </c>
      <c r="AA13" s="40">
        <v>101</v>
      </c>
      <c r="AB13" s="41" t="s">
        <v>138</v>
      </c>
      <c r="AC13" s="43">
        <v>43</v>
      </c>
      <c r="AD13" s="41" t="s">
        <v>139</v>
      </c>
      <c r="AE13" s="43">
        <v>39</v>
      </c>
      <c r="AF13" s="41" t="s">
        <v>108</v>
      </c>
    </row>
    <row r="14" spans="1:32" x14ac:dyDescent="0.3">
      <c r="A14" s="56">
        <v>80</v>
      </c>
      <c r="B14" s="70" t="s">
        <v>129</v>
      </c>
      <c r="C14" s="79">
        <v>90</v>
      </c>
      <c r="D14" s="45" t="s">
        <v>132</v>
      </c>
      <c r="E14" s="44">
        <v>2000</v>
      </c>
      <c r="F14" s="45" t="s">
        <v>141</v>
      </c>
      <c r="G14" s="37">
        <v>101</v>
      </c>
      <c r="H14" s="36" t="s">
        <v>142</v>
      </c>
      <c r="I14" s="44">
        <v>48</v>
      </c>
      <c r="J14" s="45" t="s">
        <v>143</v>
      </c>
      <c r="K14" s="44">
        <v>42</v>
      </c>
      <c r="L14" s="45" t="s">
        <v>31</v>
      </c>
      <c r="M14" s="39">
        <v>42</v>
      </c>
      <c r="N14" s="35" t="s">
        <v>31</v>
      </c>
      <c r="O14" s="39">
        <v>42</v>
      </c>
      <c r="P14" s="35" t="s">
        <v>31</v>
      </c>
      <c r="S14" s="31">
        <v>100</v>
      </c>
      <c r="T14" s="31" t="s">
        <v>144</v>
      </c>
      <c r="U14" s="44">
        <v>80</v>
      </c>
      <c r="V14" s="45" t="s">
        <v>127</v>
      </c>
      <c r="W14" s="54">
        <v>1000</v>
      </c>
      <c r="X14" s="55" t="s">
        <v>137</v>
      </c>
      <c r="Y14" s="44">
        <v>41</v>
      </c>
      <c r="Z14" s="45" t="s">
        <v>145</v>
      </c>
      <c r="AA14" s="38">
        <v>102</v>
      </c>
      <c r="AB14" s="35" t="s">
        <v>146</v>
      </c>
      <c r="AC14" s="43">
        <v>44</v>
      </c>
      <c r="AD14" s="41" t="s">
        <v>113</v>
      </c>
      <c r="AE14" s="43">
        <v>41</v>
      </c>
      <c r="AF14" s="41" t="s">
        <v>94</v>
      </c>
    </row>
    <row r="15" spans="1:32" x14ac:dyDescent="0.3">
      <c r="A15" s="60">
        <v>100</v>
      </c>
      <c r="B15" s="71" t="s">
        <v>140</v>
      </c>
      <c r="C15" s="74">
        <v>100</v>
      </c>
      <c r="D15" s="31" t="s">
        <v>144</v>
      </c>
      <c r="G15" s="39">
        <v>102</v>
      </c>
      <c r="H15" s="35" t="s">
        <v>146</v>
      </c>
      <c r="I15" s="44">
        <v>49</v>
      </c>
      <c r="J15" s="45" t="s">
        <v>35</v>
      </c>
      <c r="K15" s="44">
        <v>43</v>
      </c>
      <c r="L15" s="45" t="s">
        <v>32</v>
      </c>
      <c r="M15" s="39">
        <v>43</v>
      </c>
      <c r="N15" s="35" t="s">
        <v>32</v>
      </c>
      <c r="O15" s="39">
        <v>43</v>
      </c>
      <c r="P15" s="35" t="s">
        <v>32</v>
      </c>
      <c r="S15" s="36">
        <v>101</v>
      </c>
      <c r="T15" s="36" t="s">
        <v>142</v>
      </c>
      <c r="U15" s="44">
        <v>90</v>
      </c>
      <c r="V15" s="45" t="s">
        <v>132</v>
      </c>
      <c r="W15" s="44">
        <v>2000</v>
      </c>
      <c r="X15" s="45" t="s">
        <v>141</v>
      </c>
      <c r="Y15" s="44">
        <v>42</v>
      </c>
      <c r="Z15" s="45" t="s">
        <v>147</v>
      </c>
      <c r="AA15" s="61">
        <v>105</v>
      </c>
      <c r="AB15" s="55" t="s">
        <v>131</v>
      </c>
      <c r="AC15" s="44">
        <v>60</v>
      </c>
      <c r="AD15" s="45" t="s">
        <v>118</v>
      </c>
      <c r="AE15" s="43">
        <v>42</v>
      </c>
      <c r="AF15" s="41" t="s">
        <v>148</v>
      </c>
    </row>
    <row r="16" spans="1:32" x14ac:dyDescent="0.3">
      <c r="C16" s="75">
        <v>101</v>
      </c>
      <c r="D16" s="36" t="s">
        <v>142</v>
      </c>
      <c r="G16" s="54">
        <v>105</v>
      </c>
      <c r="H16" s="55" t="s">
        <v>131</v>
      </c>
      <c r="I16" s="62">
        <v>51</v>
      </c>
      <c r="J16" s="63" t="s">
        <v>149</v>
      </c>
      <c r="K16" s="44">
        <v>44</v>
      </c>
      <c r="L16" s="45" t="s">
        <v>121</v>
      </c>
      <c r="M16" s="39">
        <v>44</v>
      </c>
      <c r="N16" s="35" t="s">
        <v>121</v>
      </c>
      <c r="O16" s="39">
        <v>44</v>
      </c>
      <c r="P16" s="35" t="s">
        <v>121</v>
      </c>
      <c r="S16" s="35">
        <v>102</v>
      </c>
      <c r="T16" s="35" t="s">
        <v>146</v>
      </c>
      <c r="U16" s="31">
        <v>100</v>
      </c>
      <c r="V16" s="31" t="s">
        <v>144</v>
      </c>
      <c r="Y16" s="44">
        <v>43</v>
      </c>
      <c r="Z16" s="45" t="s">
        <v>150</v>
      </c>
      <c r="AA16" s="61">
        <v>1000</v>
      </c>
      <c r="AB16" s="55" t="s">
        <v>137</v>
      </c>
      <c r="AC16" s="50">
        <v>70</v>
      </c>
      <c r="AD16" s="51" t="s">
        <v>123</v>
      </c>
      <c r="AE16" s="43">
        <v>43</v>
      </c>
      <c r="AF16" s="41" t="s">
        <v>151</v>
      </c>
    </row>
    <row r="17" spans="1:32" x14ac:dyDescent="0.3">
      <c r="C17" s="76">
        <v>102</v>
      </c>
      <c r="D17" s="35" t="s">
        <v>146</v>
      </c>
      <c r="G17" s="54">
        <v>1000</v>
      </c>
      <c r="H17" s="55" t="s">
        <v>137</v>
      </c>
      <c r="I17" s="62">
        <v>52</v>
      </c>
      <c r="J17" s="63" t="s">
        <v>152</v>
      </c>
      <c r="K17" s="44">
        <v>45</v>
      </c>
      <c r="L17" s="45" t="s">
        <v>33</v>
      </c>
      <c r="M17" s="39">
        <v>45</v>
      </c>
      <c r="N17" s="35" t="s">
        <v>33</v>
      </c>
      <c r="O17" s="39">
        <v>45</v>
      </c>
      <c r="P17" s="35" t="s">
        <v>33</v>
      </c>
      <c r="S17" s="54">
        <v>105</v>
      </c>
      <c r="T17" s="55" t="s">
        <v>131</v>
      </c>
      <c r="U17" s="36">
        <v>101</v>
      </c>
      <c r="V17" s="36" t="s">
        <v>142</v>
      </c>
      <c r="Y17" s="44">
        <v>44</v>
      </c>
      <c r="Z17" s="45" t="s">
        <v>153</v>
      </c>
      <c r="AC17" s="44">
        <v>80</v>
      </c>
      <c r="AD17" s="45" t="s">
        <v>129</v>
      </c>
      <c r="AE17" s="43">
        <v>44</v>
      </c>
      <c r="AF17" s="41" t="s">
        <v>154</v>
      </c>
    </row>
    <row r="18" spans="1:32" x14ac:dyDescent="0.3">
      <c r="C18" s="80">
        <v>105</v>
      </c>
      <c r="D18" s="55" t="s">
        <v>131</v>
      </c>
      <c r="G18" s="44">
        <v>2000</v>
      </c>
      <c r="H18" s="45" t="s">
        <v>141</v>
      </c>
      <c r="I18" s="62">
        <v>53</v>
      </c>
      <c r="J18" s="63" t="s">
        <v>155</v>
      </c>
      <c r="K18" s="44">
        <v>46</v>
      </c>
      <c r="L18" s="45" t="s">
        <v>133</v>
      </c>
      <c r="M18" s="39">
        <v>46</v>
      </c>
      <c r="N18" s="35" t="s">
        <v>133</v>
      </c>
      <c r="O18" s="39">
        <v>46</v>
      </c>
      <c r="P18" s="35" t="s">
        <v>133</v>
      </c>
      <c r="S18" s="54">
        <v>1000</v>
      </c>
      <c r="T18" s="55" t="s">
        <v>137</v>
      </c>
      <c r="U18" s="35">
        <v>102</v>
      </c>
      <c r="V18" s="35" t="s">
        <v>146</v>
      </c>
      <c r="Y18" s="44">
        <v>45</v>
      </c>
      <c r="Z18" s="45" t="s">
        <v>156</v>
      </c>
      <c r="AC18" s="33">
        <v>100</v>
      </c>
      <c r="AD18" s="31" t="s">
        <v>135</v>
      </c>
      <c r="AE18" s="44">
        <v>60</v>
      </c>
      <c r="AF18" s="45" t="s">
        <v>118</v>
      </c>
    </row>
    <row r="19" spans="1:32" x14ac:dyDescent="0.3">
      <c r="C19" s="80">
        <v>1000</v>
      </c>
      <c r="D19" s="55" t="s">
        <v>137</v>
      </c>
      <c r="I19" s="62">
        <v>54</v>
      </c>
      <c r="J19" s="63" t="s">
        <v>113</v>
      </c>
      <c r="K19" s="44">
        <v>47</v>
      </c>
      <c r="L19" s="45" t="s">
        <v>34</v>
      </c>
      <c r="M19" s="39">
        <v>47</v>
      </c>
      <c r="N19" s="35" t="s">
        <v>34</v>
      </c>
      <c r="O19" s="39">
        <v>47</v>
      </c>
      <c r="P19" s="35" t="s">
        <v>34</v>
      </c>
      <c r="S19" s="44">
        <v>2000</v>
      </c>
      <c r="T19" s="45" t="s">
        <v>141</v>
      </c>
      <c r="U19" s="54">
        <v>105</v>
      </c>
      <c r="V19" s="55" t="s">
        <v>131</v>
      </c>
      <c r="Y19" s="62">
        <v>51</v>
      </c>
      <c r="Z19" s="63" t="s">
        <v>149</v>
      </c>
      <c r="AC19" s="43">
        <v>101</v>
      </c>
      <c r="AD19" s="41" t="s">
        <v>138</v>
      </c>
      <c r="AE19" s="44">
        <v>61</v>
      </c>
      <c r="AF19" s="45" t="s">
        <v>157</v>
      </c>
    </row>
    <row r="20" spans="1:32" x14ac:dyDescent="0.3">
      <c r="C20" s="79">
        <v>2000</v>
      </c>
      <c r="D20" s="45" t="s">
        <v>141</v>
      </c>
      <c r="I20" s="44">
        <v>61</v>
      </c>
      <c r="J20" s="45" t="s">
        <v>37</v>
      </c>
      <c r="K20" s="44">
        <v>48</v>
      </c>
      <c r="L20" s="45" t="s">
        <v>143</v>
      </c>
      <c r="M20" s="39">
        <v>48</v>
      </c>
      <c r="N20" s="35" t="s">
        <v>143</v>
      </c>
      <c r="O20" s="39">
        <v>48</v>
      </c>
      <c r="P20" s="35" t="s">
        <v>143</v>
      </c>
      <c r="U20" s="54">
        <v>1000</v>
      </c>
      <c r="V20" s="55" t="s">
        <v>137</v>
      </c>
      <c r="Y20" s="62">
        <v>52</v>
      </c>
      <c r="Z20" s="63" t="s">
        <v>152</v>
      </c>
      <c r="AC20" s="44">
        <v>102</v>
      </c>
      <c r="AD20" s="45" t="s">
        <v>146</v>
      </c>
      <c r="AE20" s="44">
        <v>62</v>
      </c>
      <c r="AF20" s="45" t="s">
        <v>68</v>
      </c>
    </row>
    <row r="21" spans="1:32" x14ac:dyDescent="0.3">
      <c r="I21" s="44">
        <v>62</v>
      </c>
      <c r="J21" s="45" t="s">
        <v>158</v>
      </c>
      <c r="K21" s="44">
        <v>49</v>
      </c>
      <c r="L21" s="45" t="s">
        <v>35</v>
      </c>
      <c r="M21" s="39">
        <v>49</v>
      </c>
      <c r="N21" s="35" t="s">
        <v>35</v>
      </c>
      <c r="O21" s="39">
        <v>49</v>
      </c>
      <c r="P21" s="35" t="s">
        <v>35</v>
      </c>
      <c r="U21" s="44">
        <v>2000</v>
      </c>
      <c r="V21" s="45" t="s">
        <v>141</v>
      </c>
      <c r="Y21" s="62">
        <v>53</v>
      </c>
      <c r="Z21" s="63" t="s">
        <v>155</v>
      </c>
      <c r="AC21" s="54">
        <v>105</v>
      </c>
      <c r="AD21" s="55" t="s">
        <v>131</v>
      </c>
      <c r="AE21" s="44">
        <v>63</v>
      </c>
      <c r="AF21" s="45" t="s">
        <v>159</v>
      </c>
    </row>
    <row r="22" spans="1:32" x14ac:dyDescent="0.3">
      <c r="I22" s="44">
        <v>63</v>
      </c>
      <c r="J22" s="45" t="s">
        <v>38</v>
      </c>
      <c r="K22" s="62">
        <v>51</v>
      </c>
      <c r="L22" s="63" t="s">
        <v>149</v>
      </c>
      <c r="M22" s="43">
        <v>51</v>
      </c>
      <c r="N22" s="41" t="s">
        <v>149</v>
      </c>
      <c r="O22" s="43">
        <v>51</v>
      </c>
      <c r="P22" s="41" t="s">
        <v>149</v>
      </c>
      <c r="Y22" s="62">
        <v>54</v>
      </c>
      <c r="Z22" s="63" t="s">
        <v>113</v>
      </c>
      <c r="AC22" s="54">
        <v>1000</v>
      </c>
      <c r="AD22" s="55" t="s">
        <v>137</v>
      </c>
      <c r="AE22" s="50">
        <v>70</v>
      </c>
      <c r="AF22" s="51" t="s">
        <v>123</v>
      </c>
    </row>
    <row r="23" spans="1:32" x14ac:dyDescent="0.3">
      <c r="I23" s="44">
        <v>64</v>
      </c>
      <c r="J23" s="45" t="s">
        <v>150</v>
      </c>
      <c r="K23" s="62">
        <v>52</v>
      </c>
      <c r="L23" s="63" t="s">
        <v>152</v>
      </c>
      <c r="M23" s="43">
        <v>52</v>
      </c>
      <c r="N23" s="41" t="s">
        <v>152</v>
      </c>
      <c r="O23" s="43">
        <v>52</v>
      </c>
      <c r="P23" s="41" t="s">
        <v>152</v>
      </c>
      <c r="Y23" s="50">
        <v>70</v>
      </c>
      <c r="Z23" s="51" t="s">
        <v>116</v>
      </c>
      <c r="AE23" s="44">
        <v>80</v>
      </c>
      <c r="AF23" s="45" t="s">
        <v>129</v>
      </c>
    </row>
    <row r="24" spans="1:32" ht="15" thickBot="1" x14ac:dyDescent="0.35">
      <c r="I24" s="44">
        <v>65</v>
      </c>
      <c r="J24" s="45" t="s">
        <v>160</v>
      </c>
      <c r="K24" s="62">
        <v>53</v>
      </c>
      <c r="L24" s="63" t="s">
        <v>155</v>
      </c>
      <c r="M24" s="43">
        <v>53</v>
      </c>
      <c r="N24" s="41" t="s">
        <v>155</v>
      </c>
      <c r="O24" s="43">
        <v>53</v>
      </c>
      <c r="P24" s="41" t="s">
        <v>155</v>
      </c>
      <c r="Y24" s="39">
        <v>80</v>
      </c>
      <c r="Z24" s="35" t="s">
        <v>161</v>
      </c>
      <c r="AE24" s="33">
        <v>100</v>
      </c>
      <c r="AF24" s="31" t="s">
        <v>135</v>
      </c>
    </row>
    <row r="25" spans="1:32" x14ac:dyDescent="0.3">
      <c r="A25" s="112" t="s">
        <v>174</v>
      </c>
      <c r="B25" s="113"/>
      <c r="I25" s="44">
        <v>66</v>
      </c>
      <c r="J25" s="45" t="s">
        <v>162</v>
      </c>
      <c r="K25" s="62">
        <v>54</v>
      </c>
      <c r="L25" s="63" t="s">
        <v>113</v>
      </c>
      <c r="M25" s="43">
        <v>54</v>
      </c>
      <c r="N25" s="41" t="s">
        <v>113</v>
      </c>
      <c r="O25" s="43">
        <v>54</v>
      </c>
      <c r="P25" s="41" t="s">
        <v>113</v>
      </c>
      <c r="Y25" s="39">
        <v>90</v>
      </c>
      <c r="Z25" s="35" t="s">
        <v>132</v>
      </c>
      <c r="AE25" s="43">
        <v>101</v>
      </c>
      <c r="AF25" s="41" t="s">
        <v>138</v>
      </c>
    </row>
    <row r="26" spans="1:32" x14ac:dyDescent="0.3">
      <c r="A26" s="116" t="s">
        <v>165</v>
      </c>
      <c r="B26" s="117"/>
      <c r="I26" s="44">
        <v>67</v>
      </c>
      <c r="J26" s="45" t="s">
        <v>163</v>
      </c>
      <c r="K26" s="44">
        <v>61</v>
      </c>
      <c r="L26" s="45" t="s">
        <v>37</v>
      </c>
      <c r="M26" s="44">
        <v>61</v>
      </c>
      <c r="N26" s="45" t="s">
        <v>37</v>
      </c>
      <c r="O26" s="44">
        <v>61</v>
      </c>
      <c r="P26" s="45" t="s">
        <v>37</v>
      </c>
      <c r="Y26" s="31">
        <v>100</v>
      </c>
      <c r="Z26" s="31" t="s">
        <v>144</v>
      </c>
      <c r="AE26" s="44">
        <v>102</v>
      </c>
      <c r="AF26" s="45" t="s">
        <v>146</v>
      </c>
    </row>
    <row r="27" spans="1:32" x14ac:dyDescent="0.3">
      <c r="A27" s="118" t="s">
        <v>166</v>
      </c>
      <c r="B27" s="119"/>
      <c r="I27" s="50">
        <v>70</v>
      </c>
      <c r="J27" s="51" t="s">
        <v>116</v>
      </c>
      <c r="K27" s="44">
        <v>62</v>
      </c>
      <c r="L27" s="45" t="s">
        <v>158</v>
      </c>
      <c r="M27" s="44">
        <v>62</v>
      </c>
      <c r="N27" s="45" t="s">
        <v>158</v>
      </c>
      <c r="O27" s="44">
        <v>62</v>
      </c>
      <c r="P27" s="45" t="s">
        <v>158</v>
      </c>
      <c r="Y27" s="36">
        <v>101</v>
      </c>
      <c r="Z27" s="36" t="s">
        <v>142</v>
      </c>
      <c r="AE27" s="54">
        <v>105</v>
      </c>
      <c r="AF27" s="55" t="s">
        <v>131</v>
      </c>
    </row>
    <row r="28" spans="1:32" x14ac:dyDescent="0.3">
      <c r="A28" s="120" t="s">
        <v>167</v>
      </c>
      <c r="B28" s="121"/>
      <c r="I28" s="44">
        <v>80</v>
      </c>
      <c r="J28" s="45" t="s">
        <v>161</v>
      </c>
      <c r="K28" s="44">
        <v>63</v>
      </c>
      <c r="L28" s="45" t="s">
        <v>38</v>
      </c>
      <c r="M28" s="44">
        <v>63</v>
      </c>
      <c r="N28" s="45" t="s">
        <v>38</v>
      </c>
      <c r="O28" s="44">
        <v>63</v>
      </c>
      <c r="P28" s="45" t="s">
        <v>38</v>
      </c>
      <c r="Y28" s="35">
        <v>102</v>
      </c>
      <c r="Z28" s="35" t="s">
        <v>146</v>
      </c>
      <c r="AE28" s="54">
        <v>1000</v>
      </c>
      <c r="AF28" s="55" t="s">
        <v>137</v>
      </c>
    </row>
    <row r="29" spans="1:32" ht="15" thickBot="1" x14ac:dyDescent="0.35">
      <c r="A29" s="114" t="s">
        <v>168</v>
      </c>
      <c r="B29" s="115"/>
      <c r="I29" s="44">
        <v>90</v>
      </c>
      <c r="J29" s="45" t="s">
        <v>132</v>
      </c>
      <c r="K29" s="44">
        <v>64</v>
      </c>
      <c r="L29" s="45" t="s">
        <v>150</v>
      </c>
      <c r="M29" s="44">
        <v>64</v>
      </c>
      <c r="N29" s="45" t="s">
        <v>150</v>
      </c>
      <c r="O29" s="44">
        <v>64</v>
      </c>
      <c r="P29" s="45" t="s">
        <v>150</v>
      </c>
      <c r="Y29" s="54">
        <v>105</v>
      </c>
      <c r="Z29" s="55" t="s">
        <v>131</v>
      </c>
    </row>
    <row r="30" spans="1:32" x14ac:dyDescent="0.3">
      <c r="A30" s="112" t="s">
        <v>175</v>
      </c>
      <c r="B30" s="113"/>
      <c r="I30" s="31">
        <v>100</v>
      </c>
      <c r="J30" s="31" t="s">
        <v>144</v>
      </c>
      <c r="K30" s="44">
        <v>65</v>
      </c>
      <c r="L30" s="45" t="s">
        <v>160</v>
      </c>
      <c r="M30" s="44">
        <v>65</v>
      </c>
      <c r="N30" s="45" t="s">
        <v>160</v>
      </c>
      <c r="O30" s="44">
        <v>65</v>
      </c>
      <c r="P30" s="45" t="s">
        <v>160</v>
      </c>
      <c r="Y30" s="54">
        <v>1000</v>
      </c>
      <c r="Z30" s="55" t="s">
        <v>137</v>
      </c>
    </row>
    <row r="31" spans="1:32" x14ac:dyDescent="0.3">
      <c r="A31" s="104" t="s">
        <v>169</v>
      </c>
      <c r="B31" s="105"/>
      <c r="I31" s="36">
        <v>101</v>
      </c>
      <c r="J31" s="36" t="s">
        <v>142</v>
      </c>
      <c r="K31" s="44">
        <v>66</v>
      </c>
      <c r="L31" s="45" t="s">
        <v>162</v>
      </c>
      <c r="M31" s="44">
        <v>66</v>
      </c>
      <c r="N31" s="45" t="s">
        <v>162</v>
      </c>
      <c r="O31" s="44">
        <v>66</v>
      </c>
      <c r="P31" s="45" t="s">
        <v>162</v>
      </c>
      <c r="Y31" s="44">
        <v>2000</v>
      </c>
      <c r="Z31" s="45" t="s">
        <v>164</v>
      </c>
    </row>
    <row r="32" spans="1:32" x14ac:dyDescent="0.3">
      <c r="A32" s="106" t="s">
        <v>170</v>
      </c>
      <c r="B32" s="107"/>
      <c r="I32" s="35">
        <v>102</v>
      </c>
      <c r="J32" s="35" t="s">
        <v>146</v>
      </c>
      <c r="K32" s="44">
        <v>67</v>
      </c>
      <c r="L32" s="45" t="s">
        <v>163</v>
      </c>
      <c r="M32" s="44">
        <v>67</v>
      </c>
      <c r="N32" s="45" t="s">
        <v>163</v>
      </c>
      <c r="O32" s="44">
        <v>67</v>
      </c>
      <c r="P32" s="45" t="s">
        <v>163</v>
      </c>
    </row>
    <row r="33" spans="1:16" ht="15" thickBot="1" x14ac:dyDescent="0.35">
      <c r="A33" s="108" t="s">
        <v>168</v>
      </c>
      <c r="B33" s="109"/>
      <c r="I33" s="54">
        <v>105</v>
      </c>
      <c r="J33" s="55" t="s">
        <v>131</v>
      </c>
      <c r="K33" s="50">
        <v>70</v>
      </c>
      <c r="L33" s="51" t="s">
        <v>116</v>
      </c>
      <c r="M33" s="50">
        <v>70</v>
      </c>
      <c r="N33" s="51" t="s">
        <v>116</v>
      </c>
      <c r="O33" s="50">
        <v>70</v>
      </c>
      <c r="P33" s="51" t="s">
        <v>116</v>
      </c>
    </row>
    <row r="34" spans="1:16" x14ac:dyDescent="0.3">
      <c r="A34" s="112" t="s">
        <v>176</v>
      </c>
      <c r="B34" s="113"/>
      <c r="I34" s="54">
        <v>1000</v>
      </c>
      <c r="J34" s="55" t="s">
        <v>137</v>
      </c>
      <c r="K34" s="39">
        <v>80</v>
      </c>
      <c r="L34" s="35" t="s">
        <v>161</v>
      </c>
      <c r="M34" s="39">
        <v>80</v>
      </c>
      <c r="N34" s="35" t="s">
        <v>161</v>
      </c>
      <c r="O34" s="39">
        <v>80</v>
      </c>
      <c r="P34" s="35" t="s">
        <v>161</v>
      </c>
    </row>
    <row r="35" spans="1:16" ht="15" thickBot="1" x14ac:dyDescent="0.35">
      <c r="A35" s="110" t="s">
        <v>177</v>
      </c>
      <c r="B35" s="111"/>
      <c r="I35" s="44">
        <v>2000</v>
      </c>
      <c r="J35" s="45" t="s">
        <v>164</v>
      </c>
      <c r="K35" s="39">
        <v>90</v>
      </c>
      <c r="L35" s="35" t="s">
        <v>132</v>
      </c>
      <c r="M35" s="39">
        <v>90</v>
      </c>
      <c r="N35" s="35" t="s">
        <v>132</v>
      </c>
      <c r="O35" s="39">
        <v>90</v>
      </c>
      <c r="P35" s="35" t="s">
        <v>132</v>
      </c>
    </row>
    <row r="36" spans="1:16" x14ac:dyDescent="0.3">
      <c r="K36" s="31">
        <v>100</v>
      </c>
      <c r="L36" s="31" t="s">
        <v>144</v>
      </c>
      <c r="M36" s="31">
        <v>100</v>
      </c>
      <c r="N36" s="31" t="s">
        <v>144</v>
      </c>
      <c r="O36" s="31">
        <v>100</v>
      </c>
      <c r="P36" s="31" t="s">
        <v>144</v>
      </c>
    </row>
    <row r="37" spans="1:16" x14ac:dyDescent="0.3">
      <c r="K37" s="36">
        <v>101</v>
      </c>
      <c r="L37" s="36" t="s">
        <v>142</v>
      </c>
      <c r="M37" s="36">
        <v>101</v>
      </c>
      <c r="N37" s="36" t="s">
        <v>142</v>
      </c>
      <c r="O37" s="36">
        <v>101</v>
      </c>
      <c r="P37" s="36" t="s">
        <v>142</v>
      </c>
    </row>
    <row r="38" spans="1:16" x14ac:dyDescent="0.3">
      <c r="K38" s="35">
        <v>102</v>
      </c>
      <c r="L38" s="35" t="s">
        <v>146</v>
      </c>
      <c r="M38" s="35">
        <v>102</v>
      </c>
      <c r="N38" s="35" t="s">
        <v>146</v>
      </c>
      <c r="O38" s="35">
        <v>102</v>
      </c>
      <c r="P38" s="35" t="s">
        <v>146</v>
      </c>
    </row>
    <row r="39" spans="1:16" x14ac:dyDescent="0.3">
      <c r="K39" s="54">
        <v>105</v>
      </c>
      <c r="L39" s="55" t="s">
        <v>131</v>
      </c>
      <c r="M39" s="54">
        <v>105</v>
      </c>
      <c r="N39" s="55" t="s">
        <v>131</v>
      </c>
      <c r="O39" s="54">
        <v>105</v>
      </c>
      <c r="P39" s="55" t="s">
        <v>131</v>
      </c>
    </row>
    <row r="40" spans="1:16" x14ac:dyDescent="0.3">
      <c r="K40" s="54">
        <v>1000</v>
      </c>
      <c r="L40" s="55" t="s">
        <v>137</v>
      </c>
      <c r="M40" s="54">
        <v>1000</v>
      </c>
      <c r="N40" s="55" t="s">
        <v>137</v>
      </c>
      <c r="O40" s="54">
        <v>1000</v>
      </c>
      <c r="P40" s="55" t="s">
        <v>137</v>
      </c>
    </row>
    <row r="41" spans="1:16" x14ac:dyDescent="0.3">
      <c r="K41" s="44">
        <v>2000</v>
      </c>
      <c r="L41" s="45" t="s">
        <v>164</v>
      </c>
      <c r="M41" s="44">
        <v>2000</v>
      </c>
      <c r="N41" s="45" t="s">
        <v>164</v>
      </c>
      <c r="O41" s="44">
        <v>2000</v>
      </c>
      <c r="P41" s="45" t="s">
        <v>164</v>
      </c>
    </row>
    <row r="58" spans="1:32" x14ac:dyDescent="0.3">
      <c r="AC58" s="59" t="s">
        <v>65</v>
      </c>
      <c r="AD58" t="s">
        <v>65</v>
      </c>
      <c r="AE58" s="59" t="s">
        <v>65</v>
      </c>
      <c r="AF58" t="s">
        <v>65</v>
      </c>
    </row>
    <row r="59" spans="1:32" x14ac:dyDescent="0.3">
      <c r="A59" s="57" t="s">
        <v>65</v>
      </c>
      <c r="B59" s="72" t="s">
        <v>65</v>
      </c>
      <c r="C59" s="81" t="s">
        <v>65</v>
      </c>
      <c r="D59" t="s">
        <v>65</v>
      </c>
      <c r="E59" s="59" t="s">
        <v>65</v>
      </c>
      <c r="F59" t="s">
        <v>65</v>
      </c>
      <c r="G59" s="59" t="s">
        <v>65</v>
      </c>
      <c r="H59" t="s">
        <v>65</v>
      </c>
      <c r="I59" s="59" t="s">
        <v>65</v>
      </c>
      <c r="J59" t="s">
        <v>65</v>
      </c>
      <c r="K59" s="59" t="s">
        <v>65</v>
      </c>
      <c r="L59" t="s">
        <v>65</v>
      </c>
      <c r="M59" s="59" t="s">
        <v>65</v>
      </c>
      <c r="N59" t="s">
        <v>65</v>
      </c>
      <c r="O59" s="59" t="s">
        <v>65</v>
      </c>
      <c r="P59" t="s">
        <v>65</v>
      </c>
      <c r="Q59" s="59" t="s">
        <v>65</v>
      </c>
      <c r="R59" t="s">
        <v>65</v>
      </c>
      <c r="S59" s="59" t="s">
        <v>65</v>
      </c>
      <c r="T59" t="s">
        <v>65</v>
      </c>
      <c r="W59" s="59" t="s">
        <v>65</v>
      </c>
      <c r="X59" t="s">
        <v>65</v>
      </c>
      <c r="Y59" s="59" t="s">
        <v>65</v>
      </c>
      <c r="Z59" t="s">
        <v>65</v>
      </c>
      <c r="AA59" s="58" t="s">
        <v>65</v>
      </c>
      <c r="AB59" t="s">
        <v>65</v>
      </c>
      <c r="AC59" s="59" t="s">
        <v>65</v>
      </c>
      <c r="AD59" t="s">
        <v>65</v>
      </c>
      <c r="AE59" s="59" t="s">
        <v>65</v>
      </c>
      <c r="AF59" t="s">
        <v>65</v>
      </c>
    </row>
    <row r="60" spans="1:32" x14ac:dyDescent="0.3">
      <c r="A60" s="57" t="s">
        <v>65</v>
      </c>
      <c r="B60" s="72" t="s">
        <v>65</v>
      </c>
      <c r="C60" s="81" t="s">
        <v>65</v>
      </c>
      <c r="D60" t="s">
        <v>65</v>
      </c>
      <c r="E60" s="59" t="s">
        <v>65</v>
      </c>
      <c r="F60" t="s">
        <v>65</v>
      </c>
      <c r="G60" s="59" t="s">
        <v>65</v>
      </c>
      <c r="H60" t="s">
        <v>65</v>
      </c>
      <c r="I60" s="59" t="s">
        <v>65</v>
      </c>
      <c r="J60" t="s">
        <v>65</v>
      </c>
      <c r="K60" s="59" t="s">
        <v>65</v>
      </c>
      <c r="L60" t="s">
        <v>65</v>
      </c>
      <c r="M60" s="59" t="s">
        <v>65</v>
      </c>
      <c r="N60" t="s">
        <v>65</v>
      </c>
      <c r="O60" s="59" t="s">
        <v>65</v>
      </c>
      <c r="P60" t="s">
        <v>65</v>
      </c>
      <c r="Q60" s="59" t="s">
        <v>65</v>
      </c>
      <c r="R60" t="s">
        <v>65</v>
      </c>
      <c r="S60" s="59" t="s">
        <v>65</v>
      </c>
      <c r="T60" t="s">
        <v>65</v>
      </c>
      <c r="W60" s="59" t="s">
        <v>65</v>
      </c>
      <c r="X60" t="s">
        <v>65</v>
      </c>
      <c r="Y60" s="59" t="s">
        <v>65</v>
      </c>
      <c r="Z60" t="s">
        <v>65</v>
      </c>
      <c r="AA60" s="58" t="s">
        <v>65</v>
      </c>
      <c r="AB60" t="s">
        <v>65</v>
      </c>
      <c r="AC60" s="59" t="s">
        <v>65</v>
      </c>
      <c r="AD60" t="s">
        <v>65</v>
      </c>
      <c r="AE60" s="59" t="s">
        <v>65</v>
      </c>
      <c r="AF60" t="s">
        <v>65</v>
      </c>
    </row>
    <row r="61" spans="1:32" x14ac:dyDescent="0.3">
      <c r="A61" s="57" t="s">
        <v>65</v>
      </c>
      <c r="B61" s="72" t="s">
        <v>65</v>
      </c>
      <c r="C61" s="81" t="s">
        <v>65</v>
      </c>
      <c r="D61" t="s">
        <v>65</v>
      </c>
      <c r="E61" s="59" t="s">
        <v>65</v>
      </c>
      <c r="F61" t="s">
        <v>65</v>
      </c>
      <c r="G61" s="59" t="s">
        <v>65</v>
      </c>
      <c r="H61" t="s">
        <v>65</v>
      </c>
      <c r="I61" s="59" t="s">
        <v>65</v>
      </c>
      <c r="J61" t="s">
        <v>65</v>
      </c>
      <c r="K61" s="59" t="s">
        <v>65</v>
      </c>
      <c r="L61" t="s">
        <v>65</v>
      </c>
      <c r="M61" s="59" t="s">
        <v>65</v>
      </c>
      <c r="N61" t="s">
        <v>65</v>
      </c>
      <c r="O61" s="59" t="s">
        <v>65</v>
      </c>
      <c r="P61" t="s">
        <v>65</v>
      </c>
      <c r="Q61" s="59" t="s">
        <v>65</v>
      </c>
      <c r="R61" t="s">
        <v>65</v>
      </c>
      <c r="S61" s="59" t="s">
        <v>65</v>
      </c>
      <c r="T61" t="s">
        <v>65</v>
      </c>
      <c r="U61" s="59" t="s">
        <v>65</v>
      </c>
      <c r="V61" t="s">
        <v>65</v>
      </c>
      <c r="W61" s="59" t="s">
        <v>65</v>
      </c>
      <c r="X61" t="s">
        <v>65</v>
      </c>
      <c r="Y61" s="59" t="s">
        <v>65</v>
      </c>
      <c r="Z61" t="s">
        <v>65</v>
      </c>
      <c r="AA61" s="58" t="s">
        <v>65</v>
      </c>
      <c r="AB61" t="s">
        <v>65</v>
      </c>
      <c r="AC61" s="59" t="s">
        <v>65</v>
      </c>
      <c r="AD61" t="s">
        <v>65</v>
      </c>
      <c r="AE61" s="59" t="s">
        <v>65</v>
      </c>
      <c r="AF61" t="s">
        <v>65</v>
      </c>
    </row>
    <row r="62" spans="1:32" x14ac:dyDescent="0.3">
      <c r="A62" s="57" t="s">
        <v>65</v>
      </c>
      <c r="B62" s="72" t="s">
        <v>65</v>
      </c>
      <c r="C62" s="81" t="s">
        <v>65</v>
      </c>
      <c r="D62" t="s">
        <v>65</v>
      </c>
      <c r="E62" s="59" t="s">
        <v>65</v>
      </c>
      <c r="F62" t="s">
        <v>65</v>
      </c>
      <c r="G62" s="59" t="s">
        <v>65</v>
      </c>
      <c r="H62" t="s">
        <v>65</v>
      </c>
      <c r="I62" s="59" t="s">
        <v>65</v>
      </c>
      <c r="J62" t="s">
        <v>65</v>
      </c>
      <c r="K62" s="59" t="s">
        <v>65</v>
      </c>
      <c r="L62" t="s">
        <v>65</v>
      </c>
      <c r="M62" s="59" t="s">
        <v>65</v>
      </c>
      <c r="N62" t="s">
        <v>65</v>
      </c>
      <c r="O62" s="59" t="s">
        <v>65</v>
      </c>
      <c r="P62" t="s">
        <v>65</v>
      </c>
      <c r="Q62" s="59" t="s">
        <v>65</v>
      </c>
      <c r="R62" t="s">
        <v>65</v>
      </c>
      <c r="S62" s="59" t="s">
        <v>65</v>
      </c>
      <c r="T62" t="s">
        <v>65</v>
      </c>
      <c r="U62" s="59" t="s">
        <v>65</v>
      </c>
      <c r="V62" t="s">
        <v>65</v>
      </c>
      <c r="W62" s="59" t="s">
        <v>65</v>
      </c>
      <c r="X62" t="s">
        <v>65</v>
      </c>
      <c r="Y62" s="59" t="s">
        <v>65</v>
      </c>
      <c r="Z62" t="s">
        <v>65</v>
      </c>
      <c r="AA62" s="58" t="s">
        <v>65</v>
      </c>
      <c r="AB62" t="s">
        <v>65</v>
      </c>
      <c r="AC62" s="59" t="s">
        <v>65</v>
      </c>
      <c r="AD62" t="s">
        <v>65</v>
      </c>
      <c r="AE62" s="59" t="s">
        <v>65</v>
      </c>
      <c r="AF62" t="s">
        <v>65</v>
      </c>
    </row>
    <row r="63" spans="1:32" x14ac:dyDescent="0.3">
      <c r="A63" s="57" t="s">
        <v>65</v>
      </c>
      <c r="B63" s="72" t="s">
        <v>65</v>
      </c>
      <c r="C63" s="81" t="s">
        <v>65</v>
      </c>
      <c r="D63" t="s">
        <v>65</v>
      </c>
      <c r="E63" s="59" t="s">
        <v>65</v>
      </c>
      <c r="F63" t="s">
        <v>65</v>
      </c>
      <c r="G63" s="59" t="s">
        <v>65</v>
      </c>
      <c r="H63" t="s">
        <v>65</v>
      </c>
      <c r="I63" s="59" t="s">
        <v>65</v>
      </c>
      <c r="J63" t="s">
        <v>65</v>
      </c>
      <c r="K63" s="59" t="s">
        <v>65</v>
      </c>
      <c r="L63" t="s">
        <v>65</v>
      </c>
      <c r="M63" s="59" t="s">
        <v>65</v>
      </c>
      <c r="N63" t="s">
        <v>65</v>
      </c>
      <c r="O63" s="59" t="s">
        <v>65</v>
      </c>
      <c r="P63" t="s">
        <v>65</v>
      </c>
      <c r="Q63" s="59" t="s">
        <v>65</v>
      </c>
      <c r="R63" t="s">
        <v>65</v>
      </c>
      <c r="S63" s="59" t="s">
        <v>65</v>
      </c>
      <c r="T63" t="s">
        <v>65</v>
      </c>
      <c r="U63" s="59" t="s">
        <v>65</v>
      </c>
      <c r="V63" t="s">
        <v>65</v>
      </c>
      <c r="W63" s="59" t="s">
        <v>65</v>
      </c>
      <c r="X63" t="s">
        <v>65</v>
      </c>
      <c r="Y63" s="59" t="s">
        <v>65</v>
      </c>
      <c r="Z63" t="s">
        <v>65</v>
      </c>
      <c r="AA63" s="58" t="s">
        <v>65</v>
      </c>
      <c r="AB63" t="s">
        <v>65</v>
      </c>
      <c r="AC63" s="59" t="s">
        <v>65</v>
      </c>
      <c r="AD63" t="s">
        <v>65</v>
      </c>
      <c r="AE63" s="59" t="s">
        <v>65</v>
      </c>
      <c r="AF63" t="s">
        <v>65</v>
      </c>
    </row>
    <row r="64" spans="1:32" x14ac:dyDescent="0.3">
      <c r="A64" s="57" t="s">
        <v>65</v>
      </c>
      <c r="B64" s="72" t="s">
        <v>65</v>
      </c>
      <c r="C64" s="81" t="s">
        <v>65</v>
      </c>
      <c r="D64" t="s">
        <v>65</v>
      </c>
      <c r="E64" s="59" t="s">
        <v>65</v>
      </c>
      <c r="F64" t="s">
        <v>65</v>
      </c>
      <c r="G64" s="59" t="s">
        <v>65</v>
      </c>
      <c r="H64" t="s">
        <v>65</v>
      </c>
      <c r="I64" s="59" t="s">
        <v>65</v>
      </c>
      <c r="J64" t="s">
        <v>65</v>
      </c>
      <c r="K64" s="59" t="s">
        <v>65</v>
      </c>
      <c r="L64" t="s">
        <v>65</v>
      </c>
      <c r="M64" s="59" t="s">
        <v>65</v>
      </c>
      <c r="N64" t="s">
        <v>65</v>
      </c>
      <c r="O64" s="59" t="s">
        <v>65</v>
      </c>
      <c r="P64" t="s">
        <v>65</v>
      </c>
      <c r="Q64" s="59" t="s">
        <v>65</v>
      </c>
      <c r="R64" t="s">
        <v>65</v>
      </c>
      <c r="S64" s="59" t="s">
        <v>65</v>
      </c>
      <c r="T64" t="s">
        <v>65</v>
      </c>
      <c r="U64" s="59" t="s">
        <v>65</v>
      </c>
      <c r="V64" t="s">
        <v>65</v>
      </c>
      <c r="W64" s="59" t="s">
        <v>65</v>
      </c>
      <c r="X64" t="s">
        <v>65</v>
      </c>
      <c r="Y64" s="59" t="s">
        <v>65</v>
      </c>
      <c r="Z64" t="s">
        <v>65</v>
      </c>
      <c r="AA64" s="58" t="s">
        <v>65</v>
      </c>
      <c r="AB64" t="s">
        <v>65</v>
      </c>
      <c r="AC64" s="59" t="s">
        <v>65</v>
      </c>
      <c r="AD64" t="s">
        <v>65</v>
      </c>
      <c r="AE64" s="59" t="s">
        <v>65</v>
      </c>
      <c r="AF64" t="s">
        <v>65</v>
      </c>
    </row>
    <row r="65" spans="1:33" x14ac:dyDescent="0.3">
      <c r="A65" s="57" t="s">
        <v>65</v>
      </c>
      <c r="B65" s="72" t="s">
        <v>65</v>
      </c>
      <c r="C65" s="81" t="s">
        <v>65</v>
      </c>
      <c r="D65" t="s">
        <v>65</v>
      </c>
      <c r="E65" s="59" t="s">
        <v>65</v>
      </c>
      <c r="F65" t="s">
        <v>65</v>
      </c>
      <c r="G65" s="59" t="s">
        <v>65</v>
      </c>
      <c r="H65" t="s">
        <v>65</v>
      </c>
      <c r="I65" s="59" t="s">
        <v>65</v>
      </c>
      <c r="J65" t="s">
        <v>65</v>
      </c>
      <c r="K65" s="59" t="s">
        <v>65</v>
      </c>
      <c r="L65" t="s">
        <v>65</v>
      </c>
      <c r="M65" s="59" t="s">
        <v>65</v>
      </c>
      <c r="N65" t="s">
        <v>65</v>
      </c>
      <c r="O65" s="59" t="s">
        <v>65</v>
      </c>
      <c r="P65" t="s">
        <v>65</v>
      </c>
      <c r="Q65" s="59" t="s">
        <v>65</v>
      </c>
      <c r="R65" t="s">
        <v>65</v>
      </c>
      <c r="S65" s="59" t="s">
        <v>65</v>
      </c>
      <c r="T65" t="s">
        <v>65</v>
      </c>
      <c r="U65" s="59" t="s">
        <v>65</v>
      </c>
      <c r="V65" t="s">
        <v>65</v>
      </c>
      <c r="W65" s="59" t="s">
        <v>65</v>
      </c>
      <c r="X65" t="s">
        <v>65</v>
      </c>
      <c r="Y65" s="59" t="s">
        <v>65</v>
      </c>
      <c r="Z65" t="s">
        <v>65</v>
      </c>
      <c r="AA65" s="58" t="s">
        <v>65</v>
      </c>
      <c r="AB65" t="s">
        <v>65</v>
      </c>
      <c r="AC65" s="59" t="s">
        <v>65</v>
      </c>
      <c r="AD65" t="s">
        <v>65</v>
      </c>
      <c r="AE65" s="59" t="s">
        <v>65</v>
      </c>
      <c r="AF65" t="s">
        <v>65</v>
      </c>
    </row>
    <row r="66" spans="1:33" x14ac:dyDescent="0.3">
      <c r="A66" s="57" t="s">
        <v>65</v>
      </c>
      <c r="B66" s="72" t="s">
        <v>65</v>
      </c>
      <c r="C66" s="81" t="s">
        <v>65</v>
      </c>
      <c r="D66" t="s">
        <v>65</v>
      </c>
      <c r="E66" s="59" t="s">
        <v>65</v>
      </c>
      <c r="F66" t="s">
        <v>65</v>
      </c>
      <c r="G66" s="59" t="s">
        <v>65</v>
      </c>
      <c r="H66" t="s">
        <v>65</v>
      </c>
      <c r="I66" s="59" t="s">
        <v>65</v>
      </c>
      <c r="J66" t="s">
        <v>65</v>
      </c>
      <c r="K66" s="59" t="s">
        <v>65</v>
      </c>
      <c r="L66" t="s">
        <v>65</v>
      </c>
      <c r="M66" s="59" t="s">
        <v>65</v>
      </c>
      <c r="N66" t="s">
        <v>65</v>
      </c>
      <c r="O66" s="59" t="s">
        <v>65</v>
      </c>
      <c r="P66" t="s">
        <v>65</v>
      </c>
      <c r="Q66" s="59" t="s">
        <v>65</v>
      </c>
      <c r="R66" t="s">
        <v>65</v>
      </c>
      <c r="S66" s="59" t="s">
        <v>65</v>
      </c>
      <c r="T66" t="s">
        <v>65</v>
      </c>
      <c r="U66" s="59" t="s">
        <v>65</v>
      </c>
      <c r="V66" t="s">
        <v>65</v>
      </c>
      <c r="W66" s="59" t="s">
        <v>65</v>
      </c>
      <c r="X66" t="s">
        <v>65</v>
      </c>
      <c r="Y66" s="59" t="s">
        <v>65</v>
      </c>
      <c r="Z66" t="s">
        <v>65</v>
      </c>
      <c r="AA66" s="58" t="s">
        <v>65</v>
      </c>
      <c r="AB66" t="s">
        <v>65</v>
      </c>
      <c r="AC66" s="59" t="s">
        <v>65</v>
      </c>
      <c r="AD66" t="s">
        <v>65</v>
      </c>
      <c r="AE66" s="59" t="s">
        <v>65</v>
      </c>
      <c r="AF66" t="s">
        <v>65</v>
      </c>
    </row>
    <row r="67" spans="1:33" x14ac:dyDescent="0.3">
      <c r="A67" s="57" t="s">
        <v>65</v>
      </c>
      <c r="B67" s="72" t="s">
        <v>65</v>
      </c>
      <c r="C67" s="81" t="s">
        <v>65</v>
      </c>
      <c r="D67" t="s">
        <v>65</v>
      </c>
      <c r="E67" s="59" t="s">
        <v>65</v>
      </c>
      <c r="F67" t="s">
        <v>65</v>
      </c>
      <c r="G67" s="59" t="s">
        <v>65</v>
      </c>
      <c r="H67" t="s">
        <v>65</v>
      </c>
      <c r="I67" s="59" t="s">
        <v>65</v>
      </c>
      <c r="J67" t="s">
        <v>65</v>
      </c>
      <c r="K67" s="59" t="s">
        <v>65</v>
      </c>
      <c r="L67" t="s">
        <v>65</v>
      </c>
      <c r="M67" s="59" t="s">
        <v>65</v>
      </c>
      <c r="N67" t="s">
        <v>65</v>
      </c>
      <c r="O67" s="59" t="s">
        <v>65</v>
      </c>
      <c r="P67" t="s">
        <v>65</v>
      </c>
      <c r="Q67" s="59" t="s">
        <v>65</v>
      </c>
      <c r="R67" t="s">
        <v>65</v>
      </c>
      <c r="S67" s="59" t="s">
        <v>65</v>
      </c>
      <c r="T67" t="s">
        <v>65</v>
      </c>
      <c r="U67" s="59" t="s">
        <v>65</v>
      </c>
      <c r="V67" t="s">
        <v>65</v>
      </c>
      <c r="W67" s="59" t="s">
        <v>65</v>
      </c>
      <c r="X67" t="s">
        <v>65</v>
      </c>
      <c r="Y67" s="59" t="s">
        <v>65</v>
      </c>
      <c r="Z67" t="s">
        <v>65</v>
      </c>
      <c r="AA67" s="58" t="s">
        <v>65</v>
      </c>
      <c r="AB67" t="s">
        <v>65</v>
      </c>
      <c r="AC67" s="59" t="s">
        <v>65</v>
      </c>
      <c r="AD67" t="s">
        <v>65</v>
      </c>
      <c r="AE67" s="59" t="s">
        <v>65</v>
      </c>
      <c r="AF67" t="s">
        <v>65</v>
      </c>
    </row>
    <row r="68" spans="1:33" x14ac:dyDescent="0.3">
      <c r="A68" s="57" t="s">
        <v>65</v>
      </c>
      <c r="B68" s="72" t="s">
        <v>65</v>
      </c>
      <c r="C68" s="81" t="s">
        <v>65</v>
      </c>
      <c r="D68" t="s">
        <v>65</v>
      </c>
      <c r="E68" s="59" t="s">
        <v>65</v>
      </c>
      <c r="F68" t="s">
        <v>65</v>
      </c>
      <c r="G68" s="59" t="s">
        <v>65</v>
      </c>
      <c r="H68" t="s">
        <v>65</v>
      </c>
      <c r="I68" s="59" t="s">
        <v>65</v>
      </c>
      <c r="J68" t="s">
        <v>65</v>
      </c>
      <c r="K68" s="59" t="s">
        <v>65</v>
      </c>
      <c r="L68" t="s">
        <v>65</v>
      </c>
      <c r="M68" s="59" t="s">
        <v>65</v>
      </c>
      <c r="N68" t="s">
        <v>65</v>
      </c>
      <c r="O68" s="59" t="s">
        <v>65</v>
      </c>
      <c r="P68" t="s">
        <v>65</v>
      </c>
      <c r="Q68" s="59" t="s">
        <v>65</v>
      </c>
      <c r="R68" t="s">
        <v>65</v>
      </c>
      <c r="S68" s="59" t="s">
        <v>65</v>
      </c>
      <c r="T68" t="s">
        <v>65</v>
      </c>
      <c r="U68" s="59" t="s">
        <v>65</v>
      </c>
      <c r="V68" t="s">
        <v>65</v>
      </c>
      <c r="W68" s="59" t="s">
        <v>65</v>
      </c>
      <c r="X68" t="s">
        <v>65</v>
      </c>
      <c r="Y68" s="59" t="s">
        <v>65</v>
      </c>
      <c r="Z68" t="s">
        <v>65</v>
      </c>
      <c r="AA68" s="58" t="s">
        <v>65</v>
      </c>
      <c r="AB68" t="s">
        <v>65</v>
      </c>
      <c r="AC68" s="59" t="s">
        <v>65</v>
      </c>
      <c r="AD68" t="s">
        <v>65</v>
      </c>
      <c r="AE68" s="59" t="s">
        <v>65</v>
      </c>
      <c r="AF68" t="s">
        <v>65</v>
      </c>
    </row>
    <row r="69" spans="1:33" x14ac:dyDescent="0.3">
      <c r="A69" s="57" t="s">
        <v>65</v>
      </c>
      <c r="B69" s="72" t="s">
        <v>65</v>
      </c>
      <c r="C69" s="81" t="s">
        <v>65</v>
      </c>
      <c r="D69" t="s">
        <v>65</v>
      </c>
      <c r="E69" s="59" t="s">
        <v>65</v>
      </c>
      <c r="F69" t="s">
        <v>65</v>
      </c>
      <c r="G69" s="59" t="s">
        <v>65</v>
      </c>
      <c r="H69" t="s">
        <v>65</v>
      </c>
      <c r="I69" s="59" t="s">
        <v>65</v>
      </c>
      <c r="J69" t="s">
        <v>65</v>
      </c>
      <c r="K69" s="59" t="s">
        <v>65</v>
      </c>
      <c r="L69" t="s">
        <v>65</v>
      </c>
      <c r="M69" s="59" t="s">
        <v>65</v>
      </c>
      <c r="N69" t="s">
        <v>65</v>
      </c>
      <c r="O69" s="59" t="s">
        <v>65</v>
      </c>
      <c r="P69" t="s">
        <v>65</v>
      </c>
      <c r="Q69" s="59" t="s">
        <v>65</v>
      </c>
      <c r="R69" t="s">
        <v>65</v>
      </c>
      <c r="S69" s="59" t="s">
        <v>65</v>
      </c>
      <c r="T69" t="s">
        <v>65</v>
      </c>
      <c r="U69" s="59" t="s">
        <v>65</v>
      </c>
      <c r="V69" t="s">
        <v>65</v>
      </c>
      <c r="W69" s="59" t="s">
        <v>65</v>
      </c>
      <c r="X69" t="s">
        <v>65</v>
      </c>
      <c r="Y69" s="59" t="s">
        <v>65</v>
      </c>
      <c r="Z69" t="s">
        <v>65</v>
      </c>
      <c r="AA69" s="58" t="s">
        <v>65</v>
      </c>
      <c r="AB69" t="s">
        <v>65</v>
      </c>
      <c r="AC69" s="59" t="s">
        <v>65</v>
      </c>
      <c r="AD69" t="s">
        <v>65</v>
      </c>
      <c r="AE69" s="59" t="s">
        <v>65</v>
      </c>
      <c r="AF69" t="s">
        <v>65</v>
      </c>
    </row>
    <row r="70" spans="1:33" x14ac:dyDescent="0.3">
      <c r="A70" s="57" t="s">
        <v>65</v>
      </c>
      <c r="B70" s="72" t="s">
        <v>65</v>
      </c>
      <c r="C70" s="81" t="s">
        <v>65</v>
      </c>
      <c r="D70" t="s">
        <v>65</v>
      </c>
      <c r="E70" s="59" t="s">
        <v>65</v>
      </c>
      <c r="F70" t="s">
        <v>65</v>
      </c>
      <c r="G70" s="59" t="s">
        <v>65</v>
      </c>
      <c r="H70" t="s">
        <v>65</v>
      </c>
      <c r="I70" s="59" t="s">
        <v>65</v>
      </c>
      <c r="J70" t="s">
        <v>65</v>
      </c>
      <c r="K70" s="59" t="s">
        <v>65</v>
      </c>
      <c r="L70" t="s">
        <v>65</v>
      </c>
      <c r="M70" s="59" t="s">
        <v>65</v>
      </c>
      <c r="N70" t="s">
        <v>65</v>
      </c>
      <c r="O70" s="59" t="s">
        <v>65</v>
      </c>
      <c r="P70" t="s">
        <v>65</v>
      </c>
      <c r="Q70" s="59" t="s">
        <v>65</v>
      </c>
      <c r="R70" t="s">
        <v>65</v>
      </c>
      <c r="S70" s="59" t="s">
        <v>65</v>
      </c>
      <c r="T70" t="s">
        <v>65</v>
      </c>
      <c r="U70" s="59" t="s">
        <v>65</v>
      </c>
      <c r="V70" t="s">
        <v>65</v>
      </c>
      <c r="W70" s="59" t="s">
        <v>65</v>
      </c>
      <c r="X70" t="s">
        <v>65</v>
      </c>
      <c r="Y70" s="59" t="s">
        <v>65</v>
      </c>
      <c r="Z70" t="s">
        <v>65</v>
      </c>
      <c r="AA70" s="58" t="s">
        <v>65</v>
      </c>
      <c r="AB70" t="s">
        <v>65</v>
      </c>
      <c r="AC70" s="59" t="s">
        <v>65</v>
      </c>
      <c r="AD70" t="s">
        <v>65</v>
      </c>
      <c r="AE70" s="59" t="s">
        <v>65</v>
      </c>
      <c r="AF70" t="s">
        <v>65</v>
      </c>
    </row>
    <row r="71" spans="1:33" x14ac:dyDescent="0.3">
      <c r="A71" s="57" t="s">
        <v>65</v>
      </c>
      <c r="B71" s="72" t="s">
        <v>65</v>
      </c>
      <c r="C71" s="81" t="s">
        <v>65</v>
      </c>
      <c r="D71" t="s">
        <v>65</v>
      </c>
      <c r="E71" s="59" t="s">
        <v>65</v>
      </c>
      <c r="F71" t="s">
        <v>65</v>
      </c>
      <c r="G71" s="59" t="s">
        <v>65</v>
      </c>
      <c r="H71" t="s">
        <v>65</v>
      </c>
      <c r="I71" s="59" t="s">
        <v>65</v>
      </c>
      <c r="J71" t="s">
        <v>65</v>
      </c>
      <c r="K71" s="59" t="s">
        <v>65</v>
      </c>
      <c r="L71" t="s">
        <v>65</v>
      </c>
      <c r="M71" s="59" t="s">
        <v>65</v>
      </c>
      <c r="N71" t="s">
        <v>65</v>
      </c>
      <c r="O71" s="59" t="s">
        <v>65</v>
      </c>
      <c r="P71" t="s">
        <v>65</v>
      </c>
      <c r="Q71" s="59" t="s">
        <v>65</v>
      </c>
      <c r="R71" t="s">
        <v>65</v>
      </c>
      <c r="S71" s="59" t="s">
        <v>65</v>
      </c>
      <c r="T71" t="s">
        <v>65</v>
      </c>
      <c r="U71" s="59" t="s">
        <v>65</v>
      </c>
      <c r="V71" t="s">
        <v>65</v>
      </c>
      <c r="W71" s="59" t="s">
        <v>65</v>
      </c>
      <c r="X71" t="s">
        <v>65</v>
      </c>
      <c r="Y71" s="59" t="s">
        <v>65</v>
      </c>
      <c r="Z71" t="s">
        <v>65</v>
      </c>
      <c r="AA71" s="58" t="s">
        <v>65</v>
      </c>
      <c r="AB71" t="s">
        <v>65</v>
      </c>
      <c r="AC71" s="59" t="s">
        <v>65</v>
      </c>
      <c r="AD71" t="s">
        <v>65</v>
      </c>
      <c r="AE71" s="59" t="s">
        <v>65</v>
      </c>
      <c r="AF71" t="s">
        <v>65</v>
      </c>
    </row>
    <row r="72" spans="1:33" x14ac:dyDescent="0.3">
      <c r="A72" s="57" t="s">
        <v>65</v>
      </c>
      <c r="B72" s="72" t="s">
        <v>65</v>
      </c>
      <c r="C72" s="81" t="s">
        <v>65</v>
      </c>
      <c r="D72" t="s">
        <v>65</v>
      </c>
      <c r="E72" s="59" t="s">
        <v>65</v>
      </c>
      <c r="F72" t="s">
        <v>65</v>
      </c>
      <c r="G72" s="59" t="s">
        <v>65</v>
      </c>
      <c r="H72" t="s">
        <v>65</v>
      </c>
      <c r="I72" s="59" t="s">
        <v>65</v>
      </c>
      <c r="J72" t="s">
        <v>65</v>
      </c>
      <c r="K72" s="59" t="s">
        <v>65</v>
      </c>
      <c r="L72" t="s">
        <v>65</v>
      </c>
      <c r="M72" s="59" t="s">
        <v>65</v>
      </c>
      <c r="N72" t="s">
        <v>65</v>
      </c>
      <c r="O72" s="59" t="s">
        <v>65</v>
      </c>
      <c r="P72" t="s">
        <v>65</v>
      </c>
      <c r="Q72" s="59" t="s">
        <v>65</v>
      </c>
      <c r="R72" t="s">
        <v>65</v>
      </c>
      <c r="S72" s="59" t="s">
        <v>65</v>
      </c>
      <c r="T72" t="s">
        <v>65</v>
      </c>
      <c r="U72" s="59" t="s">
        <v>65</v>
      </c>
      <c r="V72" t="s">
        <v>65</v>
      </c>
      <c r="W72" s="59" t="s">
        <v>65</v>
      </c>
      <c r="X72" t="s">
        <v>65</v>
      </c>
      <c r="Y72" s="59" t="s">
        <v>65</v>
      </c>
      <c r="Z72" t="s">
        <v>65</v>
      </c>
      <c r="AA72" s="58" t="s">
        <v>65</v>
      </c>
      <c r="AB72" t="s">
        <v>65</v>
      </c>
      <c r="AC72" s="59" t="s">
        <v>65</v>
      </c>
      <c r="AD72" t="s">
        <v>65</v>
      </c>
      <c r="AE72" s="59" t="s">
        <v>65</v>
      </c>
      <c r="AF72" t="s">
        <v>65</v>
      </c>
    </row>
    <row r="73" spans="1:33" x14ac:dyDescent="0.3">
      <c r="A73" s="57" t="s">
        <v>65</v>
      </c>
      <c r="B73" s="72" t="s">
        <v>65</v>
      </c>
      <c r="C73" s="81" t="s">
        <v>65</v>
      </c>
      <c r="D73" t="s">
        <v>65</v>
      </c>
      <c r="E73" s="59" t="s">
        <v>65</v>
      </c>
      <c r="F73" t="s">
        <v>65</v>
      </c>
      <c r="G73" s="59" t="s">
        <v>65</v>
      </c>
      <c r="H73" t="s">
        <v>65</v>
      </c>
      <c r="I73" s="59" t="s">
        <v>65</v>
      </c>
      <c r="J73" t="s">
        <v>65</v>
      </c>
      <c r="K73" s="59" t="s">
        <v>65</v>
      </c>
      <c r="L73" t="s">
        <v>65</v>
      </c>
      <c r="M73" s="59" t="s">
        <v>65</v>
      </c>
      <c r="N73" t="s">
        <v>65</v>
      </c>
      <c r="O73" s="59" t="s">
        <v>65</v>
      </c>
      <c r="P73" t="s">
        <v>65</v>
      </c>
      <c r="Q73" s="59" t="s">
        <v>65</v>
      </c>
      <c r="R73" t="s">
        <v>65</v>
      </c>
      <c r="S73" s="59" t="s">
        <v>65</v>
      </c>
      <c r="T73" t="s">
        <v>65</v>
      </c>
      <c r="U73" s="59" t="s">
        <v>65</v>
      </c>
      <c r="V73" t="s">
        <v>65</v>
      </c>
      <c r="W73" s="59" t="s">
        <v>65</v>
      </c>
      <c r="X73" t="s">
        <v>65</v>
      </c>
      <c r="Y73" s="59" t="s">
        <v>65</v>
      </c>
      <c r="Z73" t="s">
        <v>65</v>
      </c>
      <c r="AA73" s="58" t="s">
        <v>65</v>
      </c>
      <c r="AB73" t="s">
        <v>65</v>
      </c>
      <c r="AC73" s="59" t="s">
        <v>65</v>
      </c>
      <c r="AD73" t="s">
        <v>65</v>
      </c>
      <c r="AE73" s="59" t="s">
        <v>65</v>
      </c>
      <c r="AF73" t="s">
        <v>65</v>
      </c>
    </row>
    <row r="74" spans="1:33" x14ac:dyDescent="0.3">
      <c r="A74" s="57" t="s">
        <v>65</v>
      </c>
      <c r="B74" s="72" t="s">
        <v>65</v>
      </c>
      <c r="C74" s="81" t="s">
        <v>65</v>
      </c>
      <c r="D74" t="s">
        <v>65</v>
      </c>
      <c r="E74" s="59" t="s">
        <v>65</v>
      </c>
      <c r="F74" t="s">
        <v>65</v>
      </c>
      <c r="G74" s="59" t="s">
        <v>65</v>
      </c>
      <c r="H74" t="s">
        <v>65</v>
      </c>
      <c r="I74" s="59" t="s">
        <v>65</v>
      </c>
      <c r="J74" t="s">
        <v>65</v>
      </c>
      <c r="K74" s="59" t="s">
        <v>65</v>
      </c>
      <c r="L74" t="s">
        <v>65</v>
      </c>
      <c r="M74" s="59" t="s">
        <v>65</v>
      </c>
      <c r="N74" t="s">
        <v>65</v>
      </c>
      <c r="O74" s="59" t="s">
        <v>65</v>
      </c>
      <c r="P74" t="s">
        <v>65</v>
      </c>
      <c r="Q74" s="59" t="s">
        <v>65</v>
      </c>
      <c r="R74" t="s">
        <v>65</v>
      </c>
      <c r="S74" s="59" t="s">
        <v>65</v>
      </c>
      <c r="T74" t="s">
        <v>65</v>
      </c>
      <c r="U74" s="59" t="s">
        <v>65</v>
      </c>
      <c r="V74" t="s">
        <v>65</v>
      </c>
      <c r="W74" s="59" t="s">
        <v>65</v>
      </c>
      <c r="X74" t="s">
        <v>65</v>
      </c>
      <c r="Y74" s="59" t="s">
        <v>65</v>
      </c>
      <c r="Z74" t="s">
        <v>65</v>
      </c>
      <c r="AA74" s="58" t="s">
        <v>65</v>
      </c>
      <c r="AB74" t="s">
        <v>65</v>
      </c>
      <c r="AC74" s="59" t="s">
        <v>65</v>
      </c>
      <c r="AD74" t="s">
        <v>65</v>
      </c>
      <c r="AE74" s="59" t="s">
        <v>65</v>
      </c>
      <c r="AF74" t="s">
        <v>65</v>
      </c>
    </row>
    <row r="75" spans="1:33" x14ac:dyDescent="0.3">
      <c r="A75" s="57" t="s">
        <v>65</v>
      </c>
      <c r="B75" s="72" t="s">
        <v>65</v>
      </c>
      <c r="C75" s="81" t="s">
        <v>65</v>
      </c>
      <c r="D75" t="s">
        <v>65</v>
      </c>
      <c r="E75" s="59" t="s">
        <v>65</v>
      </c>
      <c r="F75" t="s">
        <v>65</v>
      </c>
      <c r="G75" s="59" t="s">
        <v>65</v>
      </c>
      <c r="H75" t="s">
        <v>65</v>
      </c>
      <c r="I75" s="59" t="s">
        <v>65</v>
      </c>
      <c r="J75" t="s">
        <v>65</v>
      </c>
      <c r="K75" s="59" t="s">
        <v>65</v>
      </c>
      <c r="L75" t="s">
        <v>65</v>
      </c>
      <c r="M75" s="59" t="s">
        <v>65</v>
      </c>
      <c r="N75" t="s">
        <v>65</v>
      </c>
      <c r="O75" s="59" t="s">
        <v>65</v>
      </c>
      <c r="P75" t="s">
        <v>65</v>
      </c>
      <c r="Q75" s="59" t="s">
        <v>65</v>
      </c>
      <c r="R75" t="s">
        <v>65</v>
      </c>
      <c r="S75" s="59" t="s">
        <v>65</v>
      </c>
      <c r="T75" t="s">
        <v>65</v>
      </c>
      <c r="U75" s="59" t="s">
        <v>65</v>
      </c>
      <c r="V75" t="s">
        <v>65</v>
      </c>
      <c r="W75" s="59" t="s">
        <v>65</v>
      </c>
      <c r="X75" t="s">
        <v>65</v>
      </c>
      <c r="Y75" s="59" t="s">
        <v>65</v>
      </c>
      <c r="Z75" t="s">
        <v>65</v>
      </c>
      <c r="AA75" s="58" t="s">
        <v>65</v>
      </c>
      <c r="AB75" t="s">
        <v>65</v>
      </c>
      <c r="AC75" s="59" t="s">
        <v>65</v>
      </c>
      <c r="AD75" t="s">
        <v>65</v>
      </c>
      <c r="AE75" s="59" t="s">
        <v>65</v>
      </c>
      <c r="AF75" t="s">
        <v>65</v>
      </c>
    </row>
    <row r="76" spans="1:33" x14ac:dyDescent="0.3">
      <c r="A76" s="57" t="s">
        <v>65</v>
      </c>
      <c r="B76" s="72" t="s">
        <v>65</v>
      </c>
      <c r="C76" s="81" t="s">
        <v>65</v>
      </c>
      <c r="D76" t="s">
        <v>65</v>
      </c>
      <c r="E76" s="59" t="s">
        <v>65</v>
      </c>
      <c r="F76" t="s">
        <v>65</v>
      </c>
      <c r="G76" s="59" t="s">
        <v>65</v>
      </c>
      <c r="H76" t="s">
        <v>65</v>
      </c>
      <c r="I76" s="59" t="s">
        <v>65</v>
      </c>
      <c r="J76" t="s">
        <v>65</v>
      </c>
      <c r="K76" s="59" t="s">
        <v>65</v>
      </c>
      <c r="L76" t="s">
        <v>65</v>
      </c>
      <c r="M76" s="59" t="s">
        <v>65</v>
      </c>
      <c r="N76" t="s">
        <v>65</v>
      </c>
      <c r="O76" s="59" t="s">
        <v>65</v>
      </c>
      <c r="P76" t="s">
        <v>65</v>
      </c>
      <c r="Q76" s="59" t="s">
        <v>65</v>
      </c>
      <c r="R76" t="s">
        <v>65</v>
      </c>
      <c r="S76" s="59" t="s">
        <v>65</v>
      </c>
      <c r="T76" t="s">
        <v>65</v>
      </c>
      <c r="U76" s="59" t="s">
        <v>65</v>
      </c>
      <c r="V76" t="s">
        <v>65</v>
      </c>
      <c r="W76" s="59" t="s">
        <v>65</v>
      </c>
      <c r="X76" t="s">
        <v>65</v>
      </c>
      <c r="Y76" s="59" t="s">
        <v>65</v>
      </c>
      <c r="Z76" t="s">
        <v>65</v>
      </c>
      <c r="AA76" s="58" t="s">
        <v>65</v>
      </c>
      <c r="AB76" t="s">
        <v>65</v>
      </c>
      <c r="AC76" s="59" t="s">
        <v>65</v>
      </c>
      <c r="AD76" t="s">
        <v>65</v>
      </c>
      <c r="AE76" s="59" t="s">
        <v>65</v>
      </c>
      <c r="AF76" t="s">
        <v>65</v>
      </c>
    </row>
    <row r="77" spans="1:33" x14ac:dyDescent="0.3">
      <c r="A77" s="57" t="s">
        <v>65</v>
      </c>
      <c r="B77" s="72" t="s">
        <v>65</v>
      </c>
      <c r="C77" s="81" t="s">
        <v>65</v>
      </c>
      <c r="D77" t="s">
        <v>65</v>
      </c>
      <c r="E77" s="59" t="s">
        <v>65</v>
      </c>
      <c r="F77" t="s">
        <v>65</v>
      </c>
      <c r="G77" s="59" t="s">
        <v>65</v>
      </c>
      <c r="H77" t="s">
        <v>65</v>
      </c>
      <c r="I77" s="59" t="s">
        <v>65</v>
      </c>
      <c r="J77" t="s">
        <v>65</v>
      </c>
      <c r="K77" s="59" t="s">
        <v>65</v>
      </c>
      <c r="L77" t="s">
        <v>65</v>
      </c>
      <c r="M77" s="59" t="s">
        <v>65</v>
      </c>
      <c r="N77" t="s">
        <v>65</v>
      </c>
      <c r="O77" s="59" t="s">
        <v>65</v>
      </c>
      <c r="P77" t="s">
        <v>65</v>
      </c>
      <c r="Q77" s="59" t="s">
        <v>65</v>
      </c>
      <c r="R77" t="s">
        <v>65</v>
      </c>
      <c r="S77" s="59" t="s">
        <v>65</v>
      </c>
      <c r="T77" t="s">
        <v>65</v>
      </c>
      <c r="U77" s="59" t="s">
        <v>65</v>
      </c>
      <c r="V77" t="s">
        <v>65</v>
      </c>
      <c r="W77" s="59" t="s">
        <v>65</v>
      </c>
      <c r="X77" t="s">
        <v>65</v>
      </c>
      <c r="Y77" s="59" t="s">
        <v>65</v>
      </c>
      <c r="Z77" t="s">
        <v>65</v>
      </c>
      <c r="AA77" s="58" t="s">
        <v>65</v>
      </c>
      <c r="AB77" t="s">
        <v>65</v>
      </c>
      <c r="AC77" s="59" t="s">
        <v>65</v>
      </c>
      <c r="AD77" t="s">
        <v>65</v>
      </c>
      <c r="AE77" s="59" t="s">
        <v>65</v>
      </c>
      <c r="AF77" t="s">
        <v>65</v>
      </c>
    </row>
    <row r="78" spans="1:33" x14ac:dyDescent="0.3">
      <c r="A78" s="57" t="s">
        <v>65</v>
      </c>
      <c r="B78" s="72" t="s">
        <v>65</v>
      </c>
      <c r="C78" s="81" t="s">
        <v>65</v>
      </c>
      <c r="D78" t="s">
        <v>65</v>
      </c>
      <c r="E78" s="59" t="s">
        <v>65</v>
      </c>
      <c r="F78" t="s">
        <v>65</v>
      </c>
      <c r="G78" s="59" t="s">
        <v>65</v>
      </c>
      <c r="H78" t="s">
        <v>65</v>
      </c>
      <c r="I78" s="59" t="s">
        <v>65</v>
      </c>
      <c r="J78" t="s">
        <v>65</v>
      </c>
      <c r="K78" s="59" t="s">
        <v>65</v>
      </c>
      <c r="L78" t="s">
        <v>65</v>
      </c>
      <c r="M78" s="59" t="s">
        <v>65</v>
      </c>
      <c r="N78" t="s">
        <v>65</v>
      </c>
      <c r="O78" s="59" t="s">
        <v>65</v>
      </c>
      <c r="P78" t="s">
        <v>65</v>
      </c>
      <c r="Q78" s="59" t="s">
        <v>65</v>
      </c>
      <c r="R78" t="s">
        <v>65</v>
      </c>
      <c r="S78" s="59" t="s">
        <v>65</v>
      </c>
      <c r="T78" t="s">
        <v>65</v>
      </c>
      <c r="U78" s="59" t="s">
        <v>65</v>
      </c>
      <c r="V78" t="s">
        <v>65</v>
      </c>
      <c r="W78" s="59" t="s">
        <v>65</v>
      </c>
      <c r="X78" t="s">
        <v>65</v>
      </c>
      <c r="Y78" s="59" t="s">
        <v>65</v>
      </c>
      <c r="Z78" t="s">
        <v>65</v>
      </c>
      <c r="AA78" s="58" t="s">
        <v>65</v>
      </c>
      <c r="AB78" t="s">
        <v>65</v>
      </c>
      <c r="AC78" s="59" t="s">
        <v>65</v>
      </c>
      <c r="AD78" t="s">
        <v>65</v>
      </c>
      <c r="AE78" s="59" t="s">
        <v>65</v>
      </c>
      <c r="AF78" t="s">
        <v>65</v>
      </c>
    </row>
    <row r="79" spans="1:33" x14ac:dyDescent="0.3">
      <c r="A79" s="57" t="s">
        <v>65</v>
      </c>
      <c r="B79" s="72" t="s">
        <v>65</v>
      </c>
      <c r="C79" s="81" t="s">
        <v>65</v>
      </c>
      <c r="D79" t="s">
        <v>65</v>
      </c>
      <c r="E79" s="59" t="s">
        <v>65</v>
      </c>
      <c r="F79" t="s">
        <v>65</v>
      </c>
      <c r="G79" s="59" t="s">
        <v>65</v>
      </c>
      <c r="H79" t="s">
        <v>65</v>
      </c>
      <c r="I79" s="59" t="s">
        <v>65</v>
      </c>
      <c r="J79" t="s">
        <v>65</v>
      </c>
      <c r="K79" s="59" t="s">
        <v>65</v>
      </c>
      <c r="L79" t="s">
        <v>65</v>
      </c>
      <c r="M79" s="59" t="s">
        <v>65</v>
      </c>
      <c r="N79" t="s">
        <v>65</v>
      </c>
      <c r="O79" s="59" t="s">
        <v>65</v>
      </c>
      <c r="P79" t="s">
        <v>65</v>
      </c>
      <c r="Q79" s="59" t="s">
        <v>65</v>
      </c>
      <c r="R79" t="s">
        <v>65</v>
      </c>
      <c r="S79" s="59" t="s">
        <v>65</v>
      </c>
      <c r="T79" t="s">
        <v>65</v>
      </c>
      <c r="U79" s="59" t="s">
        <v>65</v>
      </c>
      <c r="V79" t="s">
        <v>65</v>
      </c>
      <c r="W79" s="59" t="s">
        <v>65</v>
      </c>
      <c r="X79" t="s">
        <v>65</v>
      </c>
      <c r="Y79" s="59" t="s">
        <v>65</v>
      </c>
      <c r="Z79" t="s">
        <v>65</v>
      </c>
      <c r="AA79" s="58" t="s">
        <v>65</v>
      </c>
      <c r="AB79" t="s">
        <v>65</v>
      </c>
      <c r="AC79" s="59" t="s">
        <v>65</v>
      </c>
      <c r="AD79" t="s">
        <v>65</v>
      </c>
      <c r="AE79" s="59" t="s">
        <v>65</v>
      </c>
      <c r="AF79" t="s">
        <v>65</v>
      </c>
      <c r="AG79" s="64"/>
    </row>
    <row r="80" spans="1:33" s="64" customFormat="1" x14ac:dyDescent="0.3">
      <c r="A80" s="57" t="s">
        <v>65</v>
      </c>
      <c r="B80" s="72" t="s">
        <v>65</v>
      </c>
      <c r="C80" s="81" t="s">
        <v>65</v>
      </c>
      <c r="D80" t="s">
        <v>65</v>
      </c>
      <c r="E80" s="59" t="s">
        <v>65</v>
      </c>
      <c r="F80" t="s">
        <v>65</v>
      </c>
      <c r="G80" s="59" t="s">
        <v>65</v>
      </c>
      <c r="H80" t="s">
        <v>65</v>
      </c>
      <c r="I80" s="59" t="s">
        <v>65</v>
      </c>
      <c r="J80" t="s">
        <v>65</v>
      </c>
      <c r="K80" s="59" t="s">
        <v>65</v>
      </c>
      <c r="L80" t="s">
        <v>65</v>
      </c>
      <c r="M80" s="59" t="s">
        <v>65</v>
      </c>
      <c r="N80" t="s">
        <v>65</v>
      </c>
      <c r="O80" s="59" t="s">
        <v>65</v>
      </c>
      <c r="P80" t="s">
        <v>65</v>
      </c>
      <c r="Q80" s="59" t="s">
        <v>65</v>
      </c>
      <c r="R80" t="s">
        <v>65</v>
      </c>
      <c r="S80" s="59" t="s">
        <v>65</v>
      </c>
      <c r="T80" t="s">
        <v>65</v>
      </c>
      <c r="U80" s="59" t="s">
        <v>65</v>
      </c>
      <c r="V80" t="s">
        <v>65</v>
      </c>
      <c r="W80" s="59" t="s">
        <v>65</v>
      </c>
      <c r="X80" t="s">
        <v>65</v>
      </c>
      <c r="Y80" s="59" t="s">
        <v>65</v>
      </c>
      <c r="Z80" t="s">
        <v>65</v>
      </c>
      <c r="AA80" s="58" t="s">
        <v>65</v>
      </c>
      <c r="AB80" t="s">
        <v>65</v>
      </c>
      <c r="AC80" s="59" t="s">
        <v>65</v>
      </c>
      <c r="AD80" t="s">
        <v>65</v>
      </c>
      <c r="AE80" s="59" t="s">
        <v>65</v>
      </c>
      <c r="AF80" t="s">
        <v>65</v>
      </c>
    </row>
    <row r="81" spans="1:33" s="64" customFormat="1" x14ac:dyDescent="0.3">
      <c r="A81" s="57" t="s">
        <v>65</v>
      </c>
      <c r="B81" s="72" t="s">
        <v>65</v>
      </c>
      <c r="C81" s="81" t="s">
        <v>65</v>
      </c>
      <c r="D81" t="s">
        <v>65</v>
      </c>
      <c r="E81" s="59" t="s">
        <v>65</v>
      </c>
      <c r="F81" t="s">
        <v>65</v>
      </c>
      <c r="G81" s="59" t="s">
        <v>65</v>
      </c>
      <c r="H81" t="s">
        <v>65</v>
      </c>
      <c r="I81" s="59" t="s">
        <v>65</v>
      </c>
      <c r="J81" t="s">
        <v>65</v>
      </c>
      <c r="K81" s="59" t="s">
        <v>65</v>
      </c>
      <c r="L81" t="s">
        <v>65</v>
      </c>
      <c r="M81" s="59" t="s">
        <v>65</v>
      </c>
      <c r="N81" t="s">
        <v>65</v>
      </c>
      <c r="O81" s="59" t="s">
        <v>65</v>
      </c>
      <c r="P81" t="s">
        <v>65</v>
      </c>
      <c r="Q81" s="59" t="s">
        <v>65</v>
      </c>
      <c r="R81" t="s">
        <v>65</v>
      </c>
      <c r="S81" s="59" t="s">
        <v>65</v>
      </c>
      <c r="T81" t="s">
        <v>65</v>
      </c>
      <c r="U81" s="59" t="s">
        <v>65</v>
      </c>
      <c r="V81" t="s">
        <v>65</v>
      </c>
      <c r="W81" s="59" t="s">
        <v>65</v>
      </c>
      <c r="X81" t="s">
        <v>65</v>
      </c>
      <c r="Y81" s="59" t="s">
        <v>65</v>
      </c>
      <c r="Z81" t="s">
        <v>65</v>
      </c>
      <c r="AA81" s="58" t="s">
        <v>65</v>
      </c>
      <c r="AB81" t="s">
        <v>65</v>
      </c>
      <c r="AC81" s="59" t="s">
        <v>65</v>
      </c>
      <c r="AD81" t="s">
        <v>65</v>
      </c>
      <c r="AE81" s="59" t="s">
        <v>65</v>
      </c>
      <c r="AF81" t="s">
        <v>65</v>
      </c>
    </row>
    <row r="82" spans="1:33" s="64" customFormat="1" x14ac:dyDescent="0.3">
      <c r="A82" s="57" t="s">
        <v>65</v>
      </c>
      <c r="B82" s="72" t="s">
        <v>65</v>
      </c>
      <c r="C82" s="81" t="s">
        <v>65</v>
      </c>
      <c r="D82" t="s">
        <v>65</v>
      </c>
      <c r="E82" s="59" t="s">
        <v>65</v>
      </c>
      <c r="F82" t="s">
        <v>65</v>
      </c>
      <c r="G82" s="59" t="s">
        <v>65</v>
      </c>
      <c r="H82" t="s">
        <v>65</v>
      </c>
      <c r="I82" s="59" t="s">
        <v>65</v>
      </c>
      <c r="J82" t="s">
        <v>65</v>
      </c>
      <c r="K82" s="59" t="s">
        <v>65</v>
      </c>
      <c r="L82" t="s">
        <v>65</v>
      </c>
      <c r="M82" s="59" t="s">
        <v>65</v>
      </c>
      <c r="N82" t="s">
        <v>65</v>
      </c>
      <c r="O82" s="59" t="s">
        <v>65</v>
      </c>
      <c r="P82" t="s">
        <v>65</v>
      </c>
      <c r="Q82" s="59" t="s">
        <v>65</v>
      </c>
      <c r="R82" t="s">
        <v>65</v>
      </c>
      <c r="S82" s="59" t="s">
        <v>65</v>
      </c>
      <c r="T82" t="s">
        <v>65</v>
      </c>
      <c r="U82" s="59" t="s">
        <v>65</v>
      </c>
      <c r="V82" t="s">
        <v>65</v>
      </c>
      <c r="W82" s="59" t="s">
        <v>65</v>
      </c>
      <c r="X82" t="s">
        <v>65</v>
      </c>
      <c r="Y82" s="59" t="s">
        <v>65</v>
      </c>
      <c r="Z82" t="s">
        <v>65</v>
      </c>
      <c r="AA82" s="58" t="s">
        <v>65</v>
      </c>
      <c r="AB82" t="s">
        <v>65</v>
      </c>
      <c r="AC82" s="59" t="s">
        <v>65</v>
      </c>
      <c r="AD82" t="s">
        <v>65</v>
      </c>
      <c r="AE82" s="59" t="s">
        <v>65</v>
      </c>
      <c r="AF82" t="s">
        <v>65</v>
      </c>
    </row>
    <row r="83" spans="1:33" s="64" customFormat="1" x14ac:dyDescent="0.3">
      <c r="A83" s="57" t="s">
        <v>65</v>
      </c>
      <c r="B83" s="72" t="s">
        <v>65</v>
      </c>
      <c r="C83" s="81" t="s">
        <v>65</v>
      </c>
      <c r="D83" t="s">
        <v>65</v>
      </c>
      <c r="E83" s="59" t="s">
        <v>65</v>
      </c>
      <c r="F83" t="s">
        <v>65</v>
      </c>
      <c r="G83" s="59" t="s">
        <v>65</v>
      </c>
      <c r="H83" t="s">
        <v>65</v>
      </c>
      <c r="I83" s="59" t="s">
        <v>65</v>
      </c>
      <c r="J83" t="s">
        <v>65</v>
      </c>
      <c r="K83" s="59" t="s">
        <v>65</v>
      </c>
      <c r="L83" t="s">
        <v>65</v>
      </c>
      <c r="M83" s="59" t="s">
        <v>65</v>
      </c>
      <c r="N83" t="s">
        <v>65</v>
      </c>
      <c r="O83" s="59" t="s">
        <v>65</v>
      </c>
      <c r="P83" t="s">
        <v>65</v>
      </c>
      <c r="Q83" s="59" t="s">
        <v>65</v>
      </c>
      <c r="R83" t="s">
        <v>65</v>
      </c>
      <c r="S83" s="59" t="s">
        <v>65</v>
      </c>
      <c r="T83" t="s">
        <v>65</v>
      </c>
      <c r="U83" s="59" t="s">
        <v>65</v>
      </c>
      <c r="V83" t="s">
        <v>65</v>
      </c>
      <c r="W83" s="59" t="s">
        <v>65</v>
      </c>
      <c r="X83" t="s">
        <v>65</v>
      </c>
      <c r="Y83" s="59" t="s">
        <v>65</v>
      </c>
      <c r="Z83" t="s">
        <v>65</v>
      </c>
      <c r="AA83" s="58" t="s">
        <v>65</v>
      </c>
      <c r="AB83" t="s">
        <v>65</v>
      </c>
      <c r="AC83" s="59" t="s">
        <v>65</v>
      </c>
      <c r="AD83" t="s">
        <v>65</v>
      </c>
      <c r="AE83" s="59" t="s">
        <v>65</v>
      </c>
      <c r="AF83" t="s">
        <v>65</v>
      </c>
    </row>
    <row r="84" spans="1:33" s="64" customFormat="1" x14ac:dyDescent="0.3">
      <c r="A84" s="57" t="s">
        <v>65</v>
      </c>
      <c r="B84" s="72" t="s">
        <v>65</v>
      </c>
      <c r="C84" s="81" t="s">
        <v>65</v>
      </c>
      <c r="D84" t="s">
        <v>65</v>
      </c>
      <c r="E84" s="59" t="s">
        <v>65</v>
      </c>
      <c r="F84" t="s">
        <v>65</v>
      </c>
      <c r="G84" s="59" t="s">
        <v>65</v>
      </c>
      <c r="H84" t="s">
        <v>65</v>
      </c>
      <c r="I84" s="59" t="s">
        <v>65</v>
      </c>
      <c r="J84" t="s">
        <v>65</v>
      </c>
      <c r="K84" s="59" t="s">
        <v>65</v>
      </c>
      <c r="L84" t="s">
        <v>65</v>
      </c>
      <c r="M84" s="59" t="s">
        <v>65</v>
      </c>
      <c r="N84" t="s">
        <v>65</v>
      </c>
      <c r="O84" s="59" t="s">
        <v>65</v>
      </c>
      <c r="P84" t="s">
        <v>65</v>
      </c>
      <c r="Q84" s="59" t="s">
        <v>65</v>
      </c>
      <c r="R84" t="s">
        <v>65</v>
      </c>
      <c r="S84" s="59" t="s">
        <v>65</v>
      </c>
      <c r="T84" t="s">
        <v>65</v>
      </c>
      <c r="U84" s="59" t="s">
        <v>65</v>
      </c>
      <c r="V84" t="s">
        <v>65</v>
      </c>
      <c r="W84" s="59" t="s">
        <v>65</v>
      </c>
      <c r="X84" t="s">
        <v>65</v>
      </c>
      <c r="Y84" s="59" t="s">
        <v>65</v>
      </c>
      <c r="Z84" t="s">
        <v>65</v>
      </c>
      <c r="AA84" s="58" t="s">
        <v>65</v>
      </c>
      <c r="AB84" t="s">
        <v>65</v>
      </c>
      <c r="AC84" s="59" t="s">
        <v>65</v>
      </c>
      <c r="AD84" t="s">
        <v>65</v>
      </c>
      <c r="AE84" s="59" t="s">
        <v>65</v>
      </c>
      <c r="AF84" t="s">
        <v>65</v>
      </c>
    </row>
    <row r="85" spans="1:33" s="64" customFormat="1" x14ac:dyDescent="0.3">
      <c r="A85" s="57" t="s">
        <v>65</v>
      </c>
      <c r="B85" s="72" t="s">
        <v>65</v>
      </c>
      <c r="C85" s="81" t="s">
        <v>65</v>
      </c>
      <c r="D85" t="s">
        <v>65</v>
      </c>
      <c r="E85" s="59" t="s">
        <v>65</v>
      </c>
      <c r="F85" t="s">
        <v>65</v>
      </c>
      <c r="G85" s="59" t="s">
        <v>65</v>
      </c>
      <c r="H85" t="s">
        <v>65</v>
      </c>
      <c r="I85" s="59" t="s">
        <v>65</v>
      </c>
      <c r="J85" t="s">
        <v>65</v>
      </c>
      <c r="K85" s="59" t="s">
        <v>65</v>
      </c>
      <c r="L85" t="s">
        <v>65</v>
      </c>
      <c r="M85" s="59" t="s">
        <v>65</v>
      </c>
      <c r="N85" t="s">
        <v>65</v>
      </c>
      <c r="O85" s="59" t="s">
        <v>65</v>
      </c>
      <c r="P85" t="s">
        <v>65</v>
      </c>
      <c r="Q85" s="59" t="s">
        <v>65</v>
      </c>
      <c r="R85" t="s">
        <v>65</v>
      </c>
      <c r="S85" s="59" t="s">
        <v>65</v>
      </c>
      <c r="T85" t="s">
        <v>65</v>
      </c>
      <c r="U85" s="59" t="s">
        <v>65</v>
      </c>
      <c r="V85" t="s">
        <v>65</v>
      </c>
      <c r="W85" s="59" t="s">
        <v>65</v>
      </c>
      <c r="X85" t="s">
        <v>65</v>
      </c>
      <c r="Y85" s="59" t="s">
        <v>65</v>
      </c>
      <c r="Z85" t="s">
        <v>65</v>
      </c>
      <c r="AA85" s="58" t="s">
        <v>65</v>
      </c>
      <c r="AB85" t="s">
        <v>65</v>
      </c>
      <c r="AC85" s="59" t="s">
        <v>65</v>
      </c>
      <c r="AD85" t="s">
        <v>65</v>
      </c>
      <c r="AE85" s="59" t="s">
        <v>65</v>
      </c>
      <c r="AF85" t="s">
        <v>65</v>
      </c>
    </row>
    <row r="86" spans="1:33" s="64" customFormat="1" x14ac:dyDescent="0.3">
      <c r="A86" s="57" t="s">
        <v>65</v>
      </c>
      <c r="B86" s="72" t="s">
        <v>65</v>
      </c>
      <c r="C86" s="81" t="s">
        <v>65</v>
      </c>
      <c r="D86" t="s">
        <v>65</v>
      </c>
      <c r="E86" s="59" t="s">
        <v>65</v>
      </c>
      <c r="F86" t="s">
        <v>65</v>
      </c>
      <c r="G86" s="59" t="s">
        <v>65</v>
      </c>
      <c r="H86" t="s">
        <v>65</v>
      </c>
      <c r="I86" s="59" t="s">
        <v>65</v>
      </c>
      <c r="J86" t="s">
        <v>65</v>
      </c>
      <c r="K86" s="59" t="s">
        <v>65</v>
      </c>
      <c r="L86" t="s">
        <v>65</v>
      </c>
      <c r="M86" s="59" t="s">
        <v>65</v>
      </c>
      <c r="N86" t="s">
        <v>65</v>
      </c>
      <c r="O86" s="59" t="s">
        <v>65</v>
      </c>
      <c r="P86" t="s">
        <v>65</v>
      </c>
      <c r="Q86" s="59" t="s">
        <v>65</v>
      </c>
      <c r="R86" t="s">
        <v>65</v>
      </c>
      <c r="S86" s="59" t="s">
        <v>65</v>
      </c>
      <c r="T86" t="s">
        <v>65</v>
      </c>
      <c r="U86" s="59" t="s">
        <v>65</v>
      </c>
      <c r="V86" t="s">
        <v>65</v>
      </c>
      <c r="W86" s="59" t="s">
        <v>65</v>
      </c>
      <c r="X86" t="s">
        <v>65</v>
      </c>
      <c r="Y86" s="59" t="s">
        <v>65</v>
      </c>
      <c r="Z86" t="s">
        <v>65</v>
      </c>
      <c r="AA86" s="58" t="s">
        <v>65</v>
      </c>
      <c r="AB86" t="s">
        <v>65</v>
      </c>
      <c r="AC86" s="59" t="s">
        <v>65</v>
      </c>
      <c r="AD86" t="s">
        <v>65</v>
      </c>
      <c r="AE86" s="59" t="s">
        <v>65</v>
      </c>
      <c r="AF86" t="s">
        <v>65</v>
      </c>
    </row>
    <row r="87" spans="1:33" s="64" customFormat="1" x14ac:dyDescent="0.3">
      <c r="A87" s="57" t="s">
        <v>65</v>
      </c>
      <c r="B87" s="72" t="s">
        <v>65</v>
      </c>
      <c r="C87" s="81" t="s">
        <v>65</v>
      </c>
      <c r="D87" t="s">
        <v>65</v>
      </c>
      <c r="E87" s="59" t="s">
        <v>65</v>
      </c>
      <c r="F87" t="s">
        <v>65</v>
      </c>
      <c r="G87" s="59" t="s">
        <v>65</v>
      </c>
      <c r="H87" t="s">
        <v>65</v>
      </c>
      <c r="I87" s="59" t="s">
        <v>65</v>
      </c>
      <c r="J87" t="s">
        <v>65</v>
      </c>
      <c r="K87" s="59" t="s">
        <v>65</v>
      </c>
      <c r="L87" t="s">
        <v>65</v>
      </c>
      <c r="M87" s="59" t="s">
        <v>65</v>
      </c>
      <c r="N87" t="s">
        <v>65</v>
      </c>
      <c r="O87" s="59" t="s">
        <v>65</v>
      </c>
      <c r="P87" t="s">
        <v>65</v>
      </c>
      <c r="Q87" s="59" t="s">
        <v>65</v>
      </c>
      <c r="R87" t="s">
        <v>65</v>
      </c>
      <c r="S87" s="59" t="s">
        <v>65</v>
      </c>
      <c r="T87" t="s">
        <v>65</v>
      </c>
      <c r="U87" s="59" t="s">
        <v>65</v>
      </c>
      <c r="V87" t="s">
        <v>65</v>
      </c>
      <c r="W87" s="59" t="s">
        <v>65</v>
      </c>
      <c r="X87" t="s">
        <v>65</v>
      </c>
      <c r="Y87" s="59" t="s">
        <v>65</v>
      </c>
      <c r="Z87" t="s">
        <v>65</v>
      </c>
      <c r="AA87" s="58" t="s">
        <v>65</v>
      </c>
      <c r="AB87" t="s">
        <v>65</v>
      </c>
      <c r="AC87" s="59" t="s">
        <v>65</v>
      </c>
      <c r="AD87" t="s">
        <v>65</v>
      </c>
      <c r="AE87" s="59" t="s">
        <v>65</v>
      </c>
      <c r="AF87" t="s">
        <v>65</v>
      </c>
    </row>
    <row r="88" spans="1:33" s="64" customFormat="1" x14ac:dyDescent="0.3">
      <c r="A88" s="57" t="s">
        <v>65</v>
      </c>
      <c r="B88" s="72" t="s">
        <v>65</v>
      </c>
      <c r="C88" s="81" t="s">
        <v>65</v>
      </c>
      <c r="D88" t="s">
        <v>65</v>
      </c>
      <c r="E88" s="59" t="s">
        <v>65</v>
      </c>
      <c r="F88" t="s">
        <v>65</v>
      </c>
      <c r="G88" s="59" t="s">
        <v>65</v>
      </c>
      <c r="H88" t="s">
        <v>65</v>
      </c>
      <c r="I88" s="59" t="s">
        <v>65</v>
      </c>
      <c r="J88" t="s">
        <v>65</v>
      </c>
      <c r="K88" s="59" t="s">
        <v>65</v>
      </c>
      <c r="L88" t="s">
        <v>65</v>
      </c>
      <c r="M88" s="59" t="s">
        <v>65</v>
      </c>
      <c r="N88" t="s">
        <v>65</v>
      </c>
      <c r="O88" s="59" t="s">
        <v>65</v>
      </c>
      <c r="P88" t="s">
        <v>65</v>
      </c>
      <c r="Q88" s="59" t="s">
        <v>65</v>
      </c>
      <c r="R88" t="s">
        <v>65</v>
      </c>
      <c r="S88" s="59" t="s">
        <v>65</v>
      </c>
      <c r="T88" t="s">
        <v>65</v>
      </c>
      <c r="U88" s="59" t="s">
        <v>65</v>
      </c>
      <c r="V88" t="s">
        <v>65</v>
      </c>
      <c r="W88" s="59" t="s">
        <v>65</v>
      </c>
      <c r="X88" t="s">
        <v>65</v>
      </c>
      <c r="Y88" s="59" t="s">
        <v>65</v>
      </c>
      <c r="Z88" t="s">
        <v>65</v>
      </c>
      <c r="AA88" s="58" t="s">
        <v>65</v>
      </c>
      <c r="AB88" t="s">
        <v>65</v>
      </c>
      <c r="AC88" s="59" t="s">
        <v>65</v>
      </c>
      <c r="AD88" t="s">
        <v>65</v>
      </c>
      <c r="AE88" s="59" t="s">
        <v>65</v>
      </c>
      <c r="AF88" t="s">
        <v>65</v>
      </c>
    </row>
    <row r="89" spans="1:33" s="64" customFormat="1" x14ac:dyDescent="0.3">
      <c r="A89" s="57" t="s">
        <v>65</v>
      </c>
      <c r="B89" s="72" t="s">
        <v>65</v>
      </c>
      <c r="C89" s="81" t="s">
        <v>65</v>
      </c>
      <c r="D89" t="s">
        <v>65</v>
      </c>
      <c r="E89" s="59" t="s">
        <v>65</v>
      </c>
      <c r="F89" t="s">
        <v>65</v>
      </c>
      <c r="G89" s="59" t="s">
        <v>65</v>
      </c>
      <c r="H89" t="s">
        <v>65</v>
      </c>
      <c r="I89" s="59" t="s">
        <v>65</v>
      </c>
      <c r="J89" t="s">
        <v>65</v>
      </c>
      <c r="K89" s="59" t="s">
        <v>65</v>
      </c>
      <c r="L89" t="s">
        <v>65</v>
      </c>
      <c r="M89" s="59" t="s">
        <v>65</v>
      </c>
      <c r="N89" t="s">
        <v>65</v>
      </c>
      <c r="O89" s="59" t="s">
        <v>65</v>
      </c>
      <c r="P89" t="s">
        <v>65</v>
      </c>
      <c r="Q89" s="59" t="s">
        <v>65</v>
      </c>
      <c r="R89" t="s">
        <v>65</v>
      </c>
      <c r="S89" s="59" t="s">
        <v>65</v>
      </c>
      <c r="T89" t="s">
        <v>65</v>
      </c>
      <c r="U89" s="59" t="s">
        <v>65</v>
      </c>
      <c r="V89" t="s">
        <v>65</v>
      </c>
      <c r="W89" s="59" t="s">
        <v>65</v>
      </c>
      <c r="X89" t="s">
        <v>65</v>
      </c>
      <c r="Y89" s="59" t="s">
        <v>65</v>
      </c>
      <c r="Z89" t="s">
        <v>65</v>
      </c>
      <c r="AA89" s="58" t="s">
        <v>65</v>
      </c>
      <c r="AB89" t="s">
        <v>65</v>
      </c>
      <c r="AC89" s="59" t="s">
        <v>65</v>
      </c>
      <c r="AD89" t="s">
        <v>65</v>
      </c>
      <c r="AE89" s="59" t="s">
        <v>65</v>
      </c>
      <c r="AF89" t="s">
        <v>65</v>
      </c>
    </row>
    <row r="90" spans="1:33" s="64" customFormat="1" x14ac:dyDescent="0.3">
      <c r="A90" s="57" t="s">
        <v>65</v>
      </c>
      <c r="B90" s="72" t="s">
        <v>65</v>
      </c>
      <c r="C90" s="81" t="s">
        <v>65</v>
      </c>
      <c r="D90" t="s">
        <v>65</v>
      </c>
      <c r="E90" s="59" t="s">
        <v>65</v>
      </c>
      <c r="F90" t="s">
        <v>65</v>
      </c>
      <c r="G90" s="59" t="s">
        <v>65</v>
      </c>
      <c r="H90" t="s">
        <v>65</v>
      </c>
      <c r="I90" s="59" t="s">
        <v>65</v>
      </c>
      <c r="J90" t="s">
        <v>65</v>
      </c>
      <c r="K90" s="59" t="s">
        <v>65</v>
      </c>
      <c r="L90" t="s">
        <v>65</v>
      </c>
      <c r="M90" s="59" t="s">
        <v>65</v>
      </c>
      <c r="N90" t="s">
        <v>65</v>
      </c>
      <c r="O90" s="59" t="s">
        <v>65</v>
      </c>
      <c r="P90" t="s">
        <v>65</v>
      </c>
      <c r="Q90" s="59" t="s">
        <v>65</v>
      </c>
      <c r="R90" t="s">
        <v>65</v>
      </c>
      <c r="S90" s="59" t="s">
        <v>65</v>
      </c>
      <c r="T90" t="s">
        <v>65</v>
      </c>
      <c r="U90" s="59" t="s">
        <v>65</v>
      </c>
      <c r="V90" t="s">
        <v>65</v>
      </c>
      <c r="W90" s="59" t="s">
        <v>65</v>
      </c>
      <c r="X90" t="s">
        <v>65</v>
      </c>
      <c r="Y90" s="59" t="s">
        <v>65</v>
      </c>
      <c r="Z90" t="s">
        <v>65</v>
      </c>
      <c r="AA90" s="58" t="s">
        <v>65</v>
      </c>
      <c r="AB90" t="s">
        <v>65</v>
      </c>
      <c r="AC90" s="59" t="s">
        <v>65</v>
      </c>
      <c r="AD90" t="s">
        <v>65</v>
      </c>
      <c r="AE90" s="59" t="s">
        <v>65</v>
      </c>
      <c r="AF90" t="s">
        <v>65</v>
      </c>
    </row>
    <row r="91" spans="1:33" s="64" customFormat="1" x14ac:dyDescent="0.3">
      <c r="A91" s="57" t="s">
        <v>65</v>
      </c>
      <c r="B91" s="72" t="s">
        <v>65</v>
      </c>
      <c r="C91" s="81" t="s">
        <v>65</v>
      </c>
      <c r="D91" t="s">
        <v>65</v>
      </c>
      <c r="E91" s="59" t="s">
        <v>65</v>
      </c>
      <c r="F91" t="s">
        <v>65</v>
      </c>
      <c r="G91" s="59" t="s">
        <v>65</v>
      </c>
      <c r="H91" t="s">
        <v>65</v>
      </c>
      <c r="I91" s="59" t="s">
        <v>65</v>
      </c>
      <c r="J91" t="s">
        <v>65</v>
      </c>
      <c r="K91" s="59" t="s">
        <v>65</v>
      </c>
      <c r="L91" t="s">
        <v>65</v>
      </c>
      <c r="M91" s="59" t="s">
        <v>65</v>
      </c>
      <c r="N91" t="s">
        <v>65</v>
      </c>
      <c r="O91" s="59" t="s">
        <v>65</v>
      </c>
      <c r="P91" t="s">
        <v>65</v>
      </c>
      <c r="Q91" s="59" t="s">
        <v>65</v>
      </c>
      <c r="R91" t="s">
        <v>65</v>
      </c>
      <c r="S91" s="59" t="s">
        <v>65</v>
      </c>
      <c r="T91" t="s">
        <v>65</v>
      </c>
      <c r="U91" s="59" t="s">
        <v>65</v>
      </c>
      <c r="V91" t="s">
        <v>65</v>
      </c>
      <c r="W91" s="59" t="s">
        <v>65</v>
      </c>
      <c r="X91" t="s">
        <v>65</v>
      </c>
      <c r="Y91" s="59" t="s">
        <v>65</v>
      </c>
      <c r="Z91" t="s">
        <v>65</v>
      </c>
      <c r="AA91" s="58" t="s">
        <v>65</v>
      </c>
      <c r="AB91" t="s">
        <v>65</v>
      </c>
      <c r="AC91" s="59" t="s">
        <v>65</v>
      </c>
      <c r="AD91" t="s">
        <v>65</v>
      </c>
      <c r="AE91" s="59" t="s">
        <v>65</v>
      </c>
      <c r="AF91" t="s">
        <v>65</v>
      </c>
    </row>
    <row r="92" spans="1:33" s="64" customFormat="1" x14ac:dyDescent="0.3">
      <c r="A92" s="57" t="s">
        <v>65</v>
      </c>
      <c r="B92" s="72" t="s">
        <v>65</v>
      </c>
      <c r="C92" s="81" t="s">
        <v>65</v>
      </c>
      <c r="D92" t="s">
        <v>65</v>
      </c>
      <c r="E92" s="59" t="s">
        <v>65</v>
      </c>
      <c r="F92" t="s">
        <v>65</v>
      </c>
      <c r="G92" s="59" t="s">
        <v>65</v>
      </c>
      <c r="H92" t="s">
        <v>65</v>
      </c>
      <c r="I92" s="59" t="s">
        <v>65</v>
      </c>
      <c r="J92" t="s">
        <v>65</v>
      </c>
      <c r="K92" s="59" t="s">
        <v>65</v>
      </c>
      <c r="L92" t="s">
        <v>65</v>
      </c>
      <c r="M92" s="59" t="s">
        <v>65</v>
      </c>
      <c r="N92" t="s">
        <v>65</v>
      </c>
      <c r="O92" s="59" t="s">
        <v>65</v>
      </c>
      <c r="P92" t="s">
        <v>65</v>
      </c>
      <c r="Q92" s="59" t="s">
        <v>65</v>
      </c>
      <c r="R92" t="s">
        <v>65</v>
      </c>
      <c r="S92" s="59" t="s">
        <v>65</v>
      </c>
      <c r="T92" t="s">
        <v>65</v>
      </c>
      <c r="U92" s="59" t="s">
        <v>65</v>
      </c>
      <c r="V92" t="s">
        <v>65</v>
      </c>
      <c r="W92" s="59" t="s">
        <v>65</v>
      </c>
      <c r="X92" t="s">
        <v>65</v>
      </c>
      <c r="Y92" s="59" t="s">
        <v>65</v>
      </c>
      <c r="Z92" t="s">
        <v>65</v>
      </c>
      <c r="AA92" s="58" t="s">
        <v>65</v>
      </c>
      <c r="AB92" t="s">
        <v>65</v>
      </c>
      <c r="AC92" s="59" t="s">
        <v>65</v>
      </c>
      <c r="AD92" t="s">
        <v>65</v>
      </c>
      <c r="AE92" s="59" t="s">
        <v>65</v>
      </c>
      <c r="AF92" t="s">
        <v>65</v>
      </c>
    </row>
    <row r="93" spans="1:33" s="64" customFormat="1" x14ac:dyDescent="0.3">
      <c r="A93" s="57" t="s">
        <v>65</v>
      </c>
      <c r="B93" s="72" t="s">
        <v>65</v>
      </c>
      <c r="C93" s="81" t="s">
        <v>65</v>
      </c>
      <c r="D93" t="s">
        <v>65</v>
      </c>
      <c r="E93" s="59" t="s">
        <v>65</v>
      </c>
      <c r="F93" t="s">
        <v>65</v>
      </c>
      <c r="G93" s="59" t="s">
        <v>65</v>
      </c>
      <c r="H93" t="s">
        <v>65</v>
      </c>
      <c r="I93" s="59" t="s">
        <v>65</v>
      </c>
      <c r="J93" t="s">
        <v>65</v>
      </c>
      <c r="K93" s="59" t="s">
        <v>65</v>
      </c>
      <c r="L93" t="s">
        <v>65</v>
      </c>
      <c r="M93" s="59" t="s">
        <v>65</v>
      </c>
      <c r="N93" t="s">
        <v>65</v>
      </c>
      <c r="O93" s="59" t="s">
        <v>65</v>
      </c>
      <c r="P93" t="s">
        <v>65</v>
      </c>
      <c r="Q93" s="59" t="s">
        <v>65</v>
      </c>
      <c r="R93" t="s">
        <v>65</v>
      </c>
      <c r="S93" s="59" t="s">
        <v>65</v>
      </c>
      <c r="T93" t="s">
        <v>65</v>
      </c>
      <c r="U93" s="59" t="s">
        <v>65</v>
      </c>
      <c r="V93" t="s">
        <v>65</v>
      </c>
      <c r="W93" s="59" t="s">
        <v>65</v>
      </c>
      <c r="X93" t="s">
        <v>65</v>
      </c>
      <c r="Y93" s="59" t="s">
        <v>65</v>
      </c>
      <c r="Z93" t="s">
        <v>65</v>
      </c>
      <c r="AA93" s="58" t="s">
        <v>65</v>
      </c>
      <c r="AB93" t="s">
        <v>65</v>
      </c>
      <c r="AC93" s="59" t="s">
        <v>65</v>
      </c>
      <c r="AD93" t="s">
        <v>65</v>
      </c>
      <c r="AE93" s="59" t="s">
        <v>65</v>
      </c>
      <c r="AF93" t="s">
        <v>65</v>
      </c>
    </row>
    <row r="94" spans="1:33" s="64" customFormat="1" x14ac:dyDescent="0.3">
      <c r="A94" s="57" t="s">
        <v>65</v>
      </c>
      <c r="B94" s="72" t="s">
        <v>65</v>
      </c>
      <c r="C94" s="81" t="s">
        <v>65</v>
      </c>
      <c r="D94" t="s">
        <v>65</v>
      </c>
      <c r="E94" s="59" t="s">
        <v>65</v>
      </c>
      <c r="F94" t="s">
        <v>65</v>
      </c>
      <c r="G94" s="59" t="s">
        <v>65</v>
      </c>
      <c r="H94" t="s">
        <v>65</v>
      </c>
      <c r="I94" s="59" t="s">
        <v>65</v>
      </c>
      <c r="J94" t="s">
        <v>65</v>
      </c>
      <c r="K94" s="59" t="s">
        <v>65</v>
      </c>
      <c r="L94" t="s">
        <v>65</v>
      </c>
      <c r="M94" s="59" t="s">
        <v>65</v>
      </c>
      <c r="N94" t="s">
        <v>65</v>
      </c>
      <c r="O94" s="59" t="s">
        <v>65</v>
      </c>
      <c r="P94" t="s">
        <v>65</v>
      </c>
      <c r="Q94" s="59" t="s">
        <v>65</v>
      </c>
      <c r="R94" t="s">
        <v>65</v>
      </c>
      <c r="S94" s="59" t="s">
        <v>65</v>
      </c>
      <c r="T94" t="s">
        <v>65</v>
      </c>
      <c r="U94" s="59" t="s">
        <v>65</v>
      </c>
      <c r="V94" t="s">
        <v>65</v>
      </c>
      <c r="W94" s="59" t="s">
        <v>65</v>
      </c>
      <c r="X94" t="s">
        <v>65</v>
      </c>
      <c r="Y94" s="59" t="s">
        <v>65</v>
      </c>
      <c r="Z94" t="s">
        <v>65</v>
      </c>
      <c r="AA94" s="58" t="s">
        <v>65</v>
      </c>
      <c r="AB94" t="s">
        <v>65</v>
      </c>
      <c r="AC94" s="59" t="s">
        <v>65</v>
      </c>
      <c r="AD94" t="s">
        <v>65</v>
      </c>
      <c r="AE94" s="59" t="s">
        <v>65</v>
      </c>
      <c r="AF94" t="s">
        <v>65</v>
      </c>
    </row>
    <row r="95" spans="1:33" s="64" customFormat="1" x14ac:dyDescent="0.3">
      <c r="A95" s="57" t="s">
        <v>65</v>
      </c>
      <c r="B95" s="72" t="s">
        <v>65</v>
      </c>
      <c r="C95" s="81" t="s">
        <v>65</v>
      </c>
      <c r="D95" t="s">
        <v>65</v>
      </c>
      <c r="E95" s="59" t="s">
        <v>65</v>
      </c>
      <c r="F95" t="s">
        <v>65</v>
      </c>
      <c r="G95" s="59" t="s">
        <v>65</v>
      </c>
      <c r="H95" t="s">
        <v>65</v>
      </c>
      <c r="I95" s="59" t="s">
        <v>65</v>
      </c>
      <c r="J95" t="s">
        <v>65</v>
      </c>
      <c r="K95" s="59" t="s">
        <v>65</v>
      </c>
      <c r="L95" t="s">
        <v>65</v>
      </c>
      <c r="M95" s="59" t="s">
        <v>65</v>
      </c>
      <c r="N95" t="s">
        <v>65</v>
      </c>
      <c r="O95" s="59" t="s">
        <v>65</v>
      </c>
      <c r="P95" t="s">
        <v>65</v>
      </c>
      <c r="Q95" s="59" t="s">
        <v>65</v>
      </c>
      <c r="R95" t="s">
        <v>65</v>
      </c>
      <c r="S95" s="59" t="s">
        <v>65</v>
      </c>
      <c r="T95" t="s">
        <v>65</v>
      </c>
      <c r="U95" s="59" t="s">
        <v>65</v>
      </c>
      <c r="V95" t="s">
        <v>65</v>
      </c>
      <c r="W95" s="59" t="s">
        <v>65</v>
      </c>
      <c r="X95" t="s">
        <v>65</v>
      </c>
      <c r="Y95" s="59" t="s">
        <v>65</v>
      </c>
      <c r="Z95" t="s">
        <v>65</v>
      </c>
      <c r="AA95" s="58" t="s">
        <v>65</v>
      </c>
      <c r="AB95" t="s">
        <v>65</v>
      </c>
      <c r="AC95" s="59" t="s">
        <v>65</v>
      </c>
      <c r="AD95" t="s">
        <v>65</v>
      </c>
      <c r="AE95" s="59" t="s">
        <v>65</v>
      </c>
      <c r="AF95" t="s">
        <v>65</v>
      </c>
      <c r="AG95" s="65"/>
    </row>
    <row r="96" spans="1:33" s="65" customFormat="1" x14ac:dyDescent="0.3">
      <c r="A96" s="57" t="s">
        <v>65</v>
      </c>
      <c r="B96" s="72" t="s">
        <v>65</v>
      </c>
      <c r="C96" s="81" t="s">
        <v>65</v>
      </c>
      <c r="D96" t="s">
        <v>65</v>
      </c>
      <c r="E96" s="59" t="s">
        <v>65</v>
      </c>
      <c r="F96" t="s">
        <v>65</v>
      </c>
      <c r="G96" s="59" t="s">
        <v>65</v>
      </c>
      <c r="H96" t="s">
        <v>65</v>
      </c>
      <c r="I96" s="59" t="s">
        <v>65</v>
      </c>
      <c r="J96" t="s">
        <v>65</v>
      </c>
      <c r="K96" s="59" t="s">
        <v>65</v>
      </c>
      <c r="L96" t="s">
        <v>65</v>
      </c>
      <c r="M96" s="59" t="s">
        <v>65</v>
      </c>
      <c r="N96" t="s">
        <v>65</v>
      </c>
      <c r="O96" s="59" t="s">
        <v>65</v>
      </c>
      <c r="P96" t="s">
        <v>65</v>
      </c>
      <c r="Q96" s="59" t="s">
        <v>65</v>
      </c>
      <c r="R96" t="s">
        <v>65</v>
      </c>
      <c r="S96" s="59" t="s">
        <v>65</v>
      </c>
      <c r="T96" t="s">
        <v>65</v>
      </c>
      <c r="U96" s="59" t="s">
        <v>65</v>
      </c>
      <c r="V96" t="s">
        <v>65</v>
      </c>
      <c r="W96" s="59" t="s">
        <v>65</v>
      </c>
      <c r="X96" t="s">
        <v>65</v>
      </c>
      <c r="Y96" s="59" t="s">
        <v>65</v>
      </c>
      <c r="Z96" t="s">
        <v>65</v>
      </c>
      <c r="AA96" s="58" t="s">
        <v>65</v>
      </c>
      <c r="AB96" t="s">
        <v>65</v>
      </c>
      <c r="AC96" s="59" t="s">
        <v>65</v>
      </c>
      <c r="AD96" t="s">
        <v>65</v>
      </c>
      <c r="AE96" s="59" t="s">
        <v>65</v>
      </c>
      <c r="AF96" t="s">
        <v>65</v>
      </c>
    </row>
    <row r="97" spans="1:33" s="65" customFormat="1" x14ac:dyDescent="0.3">
      <c r="A97" s="57" t="s">
        <v>65</v>
      </c>
      <c r="B97" s="72" t="s">
        <v>65</v>
      </c>
      <c r="C97" s="81" t="s">
        <v>65</v>
      </c>
      <c r="D97" t="s">
        <v>65</v>
      </c>
      <c r="E97" s="59" t="s">
        <v>65</v>
      </c>
      <c r="F97" t="s">
        <v>65</v>
      </c>
      <c r="G97" s="59" t="s">
        <v>65</v>
      </c>
      <c r="H97" t="s">
        <v>65</v>
      </c>
      <c r="I97" s="59" t="s">
        <v>65</v>
      </c>
      <c r="J97" t="s">
        <v>65</v>
      </c>
      <c r="K97" s="59" t="s">
        <v>65</v>
      </c>
      <c r="L97" t="s">
        <v>65</v>
      </c>
      <c r="M97" s="59" t="s">
        <v>65</v>
      </c>
      <c r="N97" t="s">
        <v>65</v>
      </c>
      <c r="O97" s="59" t="s">
        <v>65</v>
      </c>
      <c r="P97" t="s">
        <v>65</v>
      </c>
      <c r="Q97" s="59" t="s">
        <v>65</v>
      </c>
      <c r="R97" t="s">
        <v>65</v>
      </c>
      <c r="S97" s="59" t="s">
        <v>65</v>
      </c>
      <c r="T97" t="s">
        <v>65</v>
      </c>
      <c r="U97" s="59" t="s">
        <v>65</v>
      </c>
      <c r="V97" t="s">
        <v>65</v>
      </c>
      <c r="W97" s="59" t="s">
        <v>65</v>
      </c>
      <c r="X97" t="s">
        <v>65</v>
      </c>
      <c r="Y97" s="59" t="s">
        <v>65</v>
      </c>
      <c r="Z97" t="s">
        <v>65</v>
      </c>
      <c r="AA97" s="58" t="s">
        <v>65</v>
      </c>
      <c r="AB97" t="s">
        <v>65</v>
      </c>
      <c r="AC97" s="59" t="s">
        <v>65</v>
      </c>
      <c r="AD97" t="s">
        <v>65</v>
      </c>
      <c r="AE97" s="59" t="s">
        <v>65</v>
      </c>
      <c r="AF97" t="s">
        <v>65</v>
      </c>
    </row>
    <row r="98" spans="1:33" s="65" customFormat="1" x14ac:dyDescent="0.3">
      <c r="A98" s="57" t="s">
        <v>65</v>
      </c>
      <c r="B98" s="72" t="s">
        <v>65</v>
      </c>
      <c r="C98" s="81" t="s">
        <v>65</v>
      </c>
      <c r="D98" t="s">
        <v>65</v>
      </c>
      <c r="E98" s="59" t="s">
        <v>65</v>
      </c>
      <c r="F98" t="s">
        <v>65</v>
      </c>
      <c r="G98" s="59" t="s">
        <v>65</v>
      </c>
      <c r="H98" t="s">
        <v>65</v>
      </c>
      <c r="I98" s="59" t="s">
        <v>65</v>
      </c>
      <c r="J98" t="s">
        <v>65</v>
      </c>
      <c r="K98" s="59" t="s">
        <v>65</v>
      </c>
      <c r="L98" t="s">
        <v>65</v>
      </c>
      <c r="M98" s="59" t="s">
        <v>65</v>
      </c>
      <c r="N98" t="s">
        <v>65</v>
      </c>
      <c r="O98" s="59" t="s">
        <v>65</v>
      </c>
      <c r="P98" t="s">
        <v>65</v>
      </c>
      <c r="Q98" s="59" t="s">
        <v>65</v>
      </c>
      <c r="R98" t="s">
        <v>65</v>
      </c>
      <c r="S98" s="59" t="s">
        <v>65</v>
      </c>
      <c r="T98" t="s">
        <v>65</v>
      </c>
      <c r="U98" s="59" t="s">
        <v>65</v>
      </c>
      <c r="V98" t="s">
        <v>65</v>
      </c>
      <c r="W98" s="59" t="s">
        <v>65</v>
      </c>
      <c r="X98" t="s">
        <v>65</v>
      </c>
      <c r="Y98" s="59" t="s">
        <v>65</v>
      </c>
      <c r="Z98" t="s">
        <v>65</v>
      </c>
      <c r="AA98" s="58" t="s">
        <v>65</v>
      </c>
      <c r="AB98" t="s">
        <v>65</v>
      </c>
      <c r="AC98" s="59" t="s">
        <v>65</v>
      </c>
      <c r="AD98" t="s">
        <v>65</v>
      </c>
      <c r="AE98" s="59" t="s">
        <v>65</v>
      </c>
      <c r="AF98" t="s">
        <v>65</v>
      </c>
    </row>
    <row r="99" spans="1:33" s="65" customFormat="1" x14ac:dyDescent="0.3">
      <c r="A99" s="57" t="s">
        <v>65</v>
      </c>
      <c r="B99" s="72" t="s">
        <v>65</v>
      </c>
      <c r="C99" s="81"/>
      <c r="D99"/>
      <c r="E99" s="59"/>
      <c r="F99"/>
      <c r="G99" s="59"/>
      <c r="H99"/>
      <c r="I99" s="59"/>
      <c r="J99"/>
      <c r="K99" s="59"/>
      <c r="L99"/>
      <c r="M99" s="59"/>
      <c r="N99"/>
      <c r="O99" s="59"/>
      <c r="P99"/>
      <c r="Q99" s="59"/>
      <c r="R99"/>
      <c r="S99" s="59"/>
      <c r="T99"/>
      <c r="U99" s="59" t="s">
        <v>65</v>
      </c>
      <c r="V99" t="s">
        <v>65</v>
      </c>
      <c r="W99" s="59"/>
      <c r="X99"/>
      <c r="Y99" s="59"/>
      <c r="Z99"/>
      <c r="AA99" s="58"/>
      <c r="AB99"/>
      <c r="AC99" s="59"/>
      <c r="AD99"/>
      <c r="AE99" s="59"/>
      <c r="AF99"/>
      <c r="AG99"/>
    </row>
    <row r="100" spans="1:33" x14ac:dyDescent="0.3">
      <c r="U100" s="59" t="s">
        <v>65</v>
      </c>
      <c r="V100" t="s">
        <v>65</v>
      </c>
    </row>
  </sheetData>
  <mergeCells count="30">
    <mergeCell ref="A1:B1"/>
    <mergeCell ref="C1:Z1"/>
    <mergeCell ref="AA1:AF1"/>
    <mergeCell ref="A2:B2"/>
    <mergeCell ref="C2:D2"/>
    <mergeCell ref="E2:F2"/>
    <mergeCell ref="G2:H2"/>
    <mergeCell ref="I2:J2"/>
    <mergeCell ref="K2:L2"/>
    <mergeCell ref="M2:N2"/>
    <mergeCell ref="U2:V2"/>
    <mergeCell ref="AC2:AD2"/>
    <mergeCell ref="AE2:AF2"/>
    <mergeCell ref="S2:T2"/>
    <mergeCell ref="W2:X2"/>
    <mergeCell ref="Y2:Z2"/>
    <mergeCell ref="AA2:AB2"/>
    <mergeCell ref="A31:B31"/>
    <mergeCell ref="A32:B32"/>
    <mergeCell ref="A33:B33"/>
    <mergeCell ref="A35:B35"/>
    <mergeCell ref="A25:B25"/>
    <mergeCell ref="A30:B30"/>
    <mergeCell ref="A34:B34"/>
    <mergeCell ref="A29:B29"/>
    <mergeCell ref="A26:B26"/>
    <mergeCell ref="A27:B27"/>
    <mergeCell ref="A28:B28"/>
    <mergeCell ref="O2:P2"/>
    <mergeCell ref="Q2:R2"/>
  </mergeCells>
  <pageMargins left="0.7" right="0.7" top="0.75" bottom="0.75" header="0.3" footer="0.3"/>
  <pageSetup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983A2E-F39B-4F3F-829E-6A25173CBDB0}">
  <sheetPr codeName="Sheet11"/>
  <dimension ref="A1:V141"/>
  <sheetViews>
    <sheetView workbookViewId="0">
      <selection activeCell="D4" sqref="D4"/>
    </sheetView>
  </sheetViews>
  <sheetFormatPr defaultRowHeight="14.4" x14ac:dyDescent="0.3"/>
  <cols>
    <col min="1" max="1" width="9.6640625" bestFit="1" customWidth="1"/>
    <col min="2" max="2" width="9.5546875" bestFit="1" customWidth="1"/>
    <col min="3" max="3" width="13.5546875" bestFit="1" customWidth="1"/>
    <col min="4" max="4" width="9" bestFit="1" customWidth="1"/>
    <col min="5" max="5" width="21.88671875" bestFit="1" customWidth="1"/>
    <col min="6" max="6" width="11.33203125" bestFit="1" customWidth="1"/>
    <col min="7" max="7" width="9.77734375" bestFit="1" customWidth="1"/>
    <col min="8" max="8" width="8.33203125" bestFit="1" customWidth="1"/>
    <col min="9" max="9" width="8.44140625" bestFit="1" customWidth="1"/>
    <col min="10" max="10" width="9.88671875" bestFit="1" customWidth="1"/>
    <col min="11" max="11" width="19.44140625" bestFit="1" customWidth="1"/>
    <col min="12" max="12" width="11.33203125" bestFit="1" customWidth="1"/>
    <col min="13" max="13" width="9.77734375" bestFit="1" customWidth="1"/>
    <col min="14" max="14" width="15.44140625" bestFit="1" customWidth="1"/>
    <col min="15" max="15" width="13.77734375" bestFit="1" customWidth="1"/>
    <col min="16" max="16" width="15.6640625" bestFit="1" customWidth="1"/>
    <col min="17" max="17" width="15.88671875" bestFit="1" customWidth="1"/>
    <col min="18" max="18" width="9.33203125" bestFit="1" customWidth="1"/>
    <col min="20" max="20" width="14.5546875" bestFit="1" customWidth="1"/>
    <col min="21" max="21" width="9.5546875" bestFit="1" customWidth="1"/>
    <col min="22" max="22" width="8.88671875" bestFit="1" customWidth="1"/>
  </cols>
  <sheetData>
    <row r="1" spans="1:22" x14ac:dyDescent="0.3">
      <c r="A1" t="s">
        <v>2</v>
      </c>
      <c r="B1" t="s">
        <v>3</v>
      </c>
      <c r="C1" t="s">
        <v>4</v>
      </c>
      <c r="D1" t="s">
        <v>5</v>
      </c>
      <c r="E1" t="s">
        <v>6</v>
      </c>
      <c r="F1" t="s">
        <v>7</v>
      </c>
      <c r="G1" t="s">
        <v>8</v>
      </c>
      <c r="H1" t="s">
        <v>17</v>
      </c>
      <c r="I1" t="s">
        <v>18</v>
      </c>
      <c r="J1" t="s">
        <v>19</v>
      </c>
      <c r="K1" t="s">
        <v>20</v>
      </c>
      <c r="L1" t="s">
        <v>9</v>
      </c>
      <c r="M1" t="s">
        <v>10</v>
      </c>
      <c r="N1" t="s">
        <v>11</v>
      </c>
      <c r="O1" t="s">
        <v>12</v>
      </c>
      <c r="P1" t="s">
        <v>13</v>
      </c>
      <c r="Q1" t="s">
        <v>21</v>
      </c>
      <c r="R1" t="s">
        <v>14</v>
      </c>
      <c r="S1" t="s">
        <v>22</v>
      </c>
      <c r="T1" t="s">
        <v>23</v>
      </c>
      <c r="U1" t="s">
        <v>24</v>
      </c>
      <c r="V1" t="s">
        <v>25</v>
      </c>
    </row>
    <row r="2" spans="1:22" x14ac:dyDescent="0.3">
      <c r="A2" s="1" t="s">
        <v>676</v>
      </c>
      <c r="B2" s="1" t="s">
        <v>677</v>
      </c>
      <c r="C2" s="1" t="s">
        <v>678</v>
      </c>
      <c r="D2" s="1" t="s">
        <v>205</v>
      </c>
      <c r="E2" s="1" t="s">
        <v>206</v>
      </c>
      <c r="F2">
        <v>0</v>
      </c>
      <c r="G2">
        <v>0</v>
      </c>
      <c r="H2">
        <v>0</v>
      </c>
      <c r="I2">
        <v>0</v>
      </c>
      <c r="J2">
        <v>0</v>
      </c>
      <c r="K2">
        <v>0</v>
      </c>
      <c r="L2">
        <v>0</v>
      </c>
      <c r="M2">
        <v>888.76</v>
      </c>
      <c r="N2">
        <v>0</v>
      </c>
      <c r="O2">
        <v>0</v>
      </c>
      <c r="P2">
        <v>130203.34</v>
      </c>
      <c r="Q2">
        <v>130203.34</v>
      </c>
      <c r="R2" s="1" t="s">
        <v>207</v>
      </c>
      <c r="S2" s="1" t="s">
        <v>26</v>
      </c>
      <c r="T2" s="1" t="s">
        <v>27</v>
      </c>
      <c r="U2" s="1" t="s">
        <v>208</v>
      </c>
      <c r="V2" s="1" t="s">
        <v>208</v>
      </c>
    </row>
    <row r="3" spans="1:22" x14ac:dyDescent="0.3">
      <c r="A3" s="1" t="s">
        <v>676</v>
      </c>
      <c r="B3" s="1" t="s">
        <v>677</v>
      </c>
      <c r="C3" s="1" t="s">
        <v>678</v>
      </c>
      <c r="D3" s="1" t="s">
        <v>196</v>
      </c>
      <c r="E3" s="1" t="s">
        <v>197</v>
      </c>
      <c r="F3">
        <v>0</v>
      </c>
      <c r="G3">
        <v>0</v>
      </c>
      <c r="H3">
        <v>0</v>
      </c>
      <c r="I3">
        <v>0</v>
      </c>
      <c r="J3">
        <v>0</v>
      </c>
      <c r="K3">
        <v>0</v>
      </c>
      <c r="L3">
        <v>0</v>
      </c>
      <c r="M3">
        <v>186</v>
      </c>
      <c r="N3">
        <v>0</v>
      </c>
      <c r="O3">
        <v>4999.88</v>
      </c>
      <c r="P3">
        <v>10608.84</v>
      </c>
      <c r="Q3">
        <v>15608.720000000001</v>
      </c>
      <c r="R3" s="1" t="s">
        <v>198</v>
      </c>
      <c r="S3" s="1" t="s">
        <v>26</v>
      </c>
      <c r="T3" s="1" t="s">
        <v>27</v>
      </c>
      <c r="U3" s="1" t="s">
        <v>208</v>
      </c>
      <c r="V3" s="1" t="s">
        <v>208</v>
      </c>
    </row>
    <row r="4" spans="1:22" x14ac:dyDescent="0.3">
      <c r="A4" s="1" t="s">
        <v>676</v>
      </c>
      <c r="B4" s="1" t="s">
        <v>677</v>
      </c>
      <c r="C4" s="1" t="s">
        <v>678</v>
      </c>
      <c r="D4" s="1" t="s">
        <v>28</v>
      </c>
      <c r="E4" s="1" t="s">
        <v>209</v>
      </c>
      <c r="F4">
        <v>0</v>
      </c>
      <c r="G4">
        <v>0</v>
      </c>
      <c r="H4">
        <v>0</v>
      </c>
      <c r="I4">
        <v>0</v>
      </c>
      <c r="J4">
        <v>0</v>
      </c>
      <c r="K4">
        <v>0</v>
      </c>
      <c r="L4">
        <v>3.39</v>
      </c>
      <c r="M4">
        <v>397.89</v>
      </c>
      <c r="N4">
        <v>0</v>
      </c>
      <c r="O4">
        <v>0</v>
      </c>
      <c r="P4">
        <v>58290.95</v>
      </c>
      <c r="Q4">
        <v>58290.95</v>
      </c>
      <c r="R4" s="1" t="s">
        <v>210</v>
      </c>
      <c r="S4" s="1" t="s">
        <v>26</v>
      </c>
      <c r="T4" s="1" t="s">
        <v>27</v>
      </c>
      <c r="U4" s="1" t="s">
        <v>208</v>
      </c>
      <c r="V4" s="1" t="s">
        <v>208</v>
      </c>
    </row>
    <row r="5" spans="1:22" x14ac:dyDescent="0.3">
      <c r="A5" s="1" t="s">
        <v>676</v>
      </c>
      <c r="B5" s="1" t="s">
        <v>677</v>
      </c>
      <c r="C5" s="1" t="s">
        <v>678</v>
      </c>
      <c r="D5" s="1" t="s">
        <v>30</v>
      </c>
      <c r="E5" s="1" t="s">
        <v>211</v>
      </c>
      <c r="F5">
        <v>4</v>
      </c>
      <c r="G5">
        <v>0</v>
      </c>
      <c r="H5">
        <v>0</v>
      </c>
      <c r="I5">
        <v>0</v>
      </c>
      <c r="J5">
        <v>0</v>
      </c>
      <c r="K5">
        <v>0</v>
      </c>
      <c r="L5">
        <v>0</v>
      </c>
      <c r="M5">
        <v>0</v>
      </c>
      <c r="N5">
        <v>0</v>
      </c>
      <c r="O5">
        <v>0</v>
      </c>
      <c r="P5">
        <v>0</v>
      </c>
      <c r="Q5">
        <v>0</v>
      </c>
      <c r="R5" s="1" t="s">
        <v>212</v>
      </c>
      <c r="S5" s="1" t="s">
        <v>26</v>
      </c>
      <c r="T5" s="1" t="s">
        <v>27</v>
      </c>
      <c r="U5" s="1" t="s">
        <v>208</v>
      </c>
      <c r="V5" s="1" t="s">
        <v>208</v>
      </c>
    </row>
    <row r="6" spans="1:22" x14ac:dyDescent="0.3">
      <c r="A6" s="1" t="s">
        <v>676</v>
      </c>
      <c r="B6" s="1" t="s">
        <v>677</v>
      </c>
      <c r="C6" s="1" t="s">
        <v>678</v>
      </c>
      <c r="D6" s="1" t="s">
        <v>193</v>
      </c>
      <c r="E6" s="1" t="s">
        <v>31</v>
      </c>
      <c r="F6">
        <v>32</v>
      </c>
      <c r="G6">
        <v>0</v>
      </c>
      <c r="H6">
        <v>0</v>
      </c>
      <c r="I6">
        <v>0</v>
      </c>
      <c r="J6">
        <v>0</v>
      </c>
      <c r="K6">
        <v>0</v>
      </c>
      <c r="L6">
        <v>0</v>
      </c>
      <c r="M6">
        <v>11.81</v>
      </c>
      <c r="N6">
        <v>0</v>
      </c>
      <c r="O6">
        <v>0</v>
      </c>
      <c r="P6">
        <v>2421.0500000000002</v>
      </c>
      <c r="Q6">
        <v>2421.0500000000002</v>
      </c>
      <c r="R6" s="1" t="s">
        <v>212</v>
      </c>
      <c r="S6" s="1" t="s">
        <v>26</v>
      </c>
      <c r="T6" s="1" t="s">
        <v>27</v>
      </c>
      <c r="U6" s="1" t="s">
        <v>208</v>
      </c>
      <c r="V6" s="1" t="s">
        <v>208</v>
      </c>
    </row>
    <row r="7" spans="1:22" x14ac:dyDescent="0.3">
      <c r="A7" s="1" t="s">
        <v>676</v>
      </c>
      <c r="B7" s="1" t="s">
        <v>677</v>
      </c>
      <c r="C7" s="1" t="s">
        <v>678</v>
      </c>
      <c r="D7" s="1" t="s">
        <v>213</v>
      </c>
      <c r="E7" s="1" t="s">
        <v>32</v>
      </c>
      <c r="F7">
        <v>32</v>
      </c>
      <c r="G7">
        <v>0</v>
      </c>
      <c r="H7">
        <v>0</v>
      </c>
      <c r="I7">
        <v>0</v>
      </c>
      <c r="J7">
        <v>0</v>
      </c>
      <c r="K7">
        <v>0</v>
      </c>
      <c r="L7">
        <v>0</v>
      </c>
      <c r="M7">
        <v>0</v>
      </c>
      <c r="N7">
        <v>0</v>
      </c>
      <c r="O7">
        <v>0</v>
      </c>
      <c r="P7">
        <v>0</v>
      </c>
      <c r="Q7">
        <v>0</v>
      </c>
      <c r="R7" s="1" t="s">
        <v>212</v>
      </c>
      <c r="S7" s="1" t="s">
        <v>26</v>
      </c>
      <c r="T7" s="1" t="s">
        <v>27</v>
      </c>
      <c r="U7" s="1" t="s">
        <v>208</v>
      </c>
      <c r="V7" s="1" t="s">
        <v>208</v>
      </c>
    </row>
    <row r="8" spans="1:22" x14ac:dyDescent="0.3">
      <c r="A8" s="1" t="s">
        <v>676</v>
      </c>
      <c r="B8" s="1" t="s">
        <v>677</v>
      </c>
      <c r="C8" s="1" t="s">
        <v>678</v>
      </c>
      <c r="D8" s="1" t="s">
        <v>194</v>
      </c>
      <c r="E8" s="1" t="s">
        <v>214</v>
      </c>
      <c r="F8">
        <v>32</v>
      </c>
      <c r="G8">
        <v>0</v>
      </c>
      <c r="H8">
        <v>0</v>
      </c>
      <c r="I8">
        <v>0</v>
      </c>
      <c r="J8">
        <v>0</v>
      </c>
      <c r="K8">
        <v>0</v>
      </c>
      <c r="L8">
        <v>0</v>
      </c>
      <c r="M8">
        <v>7.98</v>
      </c>
      <c r="N8">
        <v>0</v>
      </c>
      <c r="O8">
        <v>0</v>
      </c>
      <c r="P8">
        <v>1635.9</v>
      </c>
      <c r="Q8">
        <v>1635.9</v>
      </c>
      <c r="R8" s="1" t="s">
        <v>212</v>
      </c>
      <c r="S8" s="1" t="s">
        <v>26</v>
      </c>
      <c r="T8" s="1" t="s">
        <v>27</v>
      </c>
      <c r="U8" s="1" t="s">
        <v>208</v>
      </c>
      <c r="V8" s="1" t="s">
        <v>208</v>
      </c>
    </row>
    <row r="9" spans="1:22" x14ac:dyDescent="0.3">
      <c r="A9" s="1" t="s">
        <v>676</v>
      </c>
      <c r="B9" s="1" t="s">
        <v>677</v>
      </c>
      <c r="C9" s="1" t="s">
        <v>678</v>
      </c>
      <c r="D9" s="1" t="s">
        <v>215</v>
      </c>
      <c r="E9" s="1" t="s">
        <v>33</v>
      </c>
      <c r="F9">
        <v>32</v>
      </c>
      <c r="G9">
        <v>0</v>
      </c>
      <c r="H9">
        <v>0</v>
      </c>
      <c r="I9">
        <v>0</v>
      </c>
      <c r="J9">
        <v>0</v>
      </c>
      <c r="K9">
        <v>0</v>
      </c>
      <c r="L9">
        <v>0</v>
      </c>
      <c r="M9">
        <v>11.43</v>
      </c>
      <c r="N9">
        <v>0</v>
      </c>
      <c r="O9">
        <v>0</v>
      </c>
      <c r="P9">
        <v>2343.15</v>
      </c>
      <c r="Q9">
        <v>2343.15</v>
      </c>
      <c r="R9" s="1" t="s">
        <v>212</v>
      </c>
      <c r="S9" s="1" t="s">
        <v>26</v>
      </c>
      <c r="T9" s="1" t="s">
        <v>27</v>
      </c>
      <c r="U9" s="1" t="s">
        <v>208</v>
      </c>
      <c r="V9" s="1" t="s">
        <v>208</v>
      </c>
    </row>
    <row r="10" spans="1:22" x14ac:dyDescent="0.3">
      <c r="A10" s="1" t="s">
        <v>676</v>
      </c>
      <c r="B10" s="1" t="s">
        <v>677</v>
      </c>
      <c r="C10" s="1" t="s">
        <v>678</v>
      </c>
      <c r="D10" s="1" t="s">
        <v>216</v>
      </c>
      <c r="E10" s="1" t="s">
        <v>217</v>
      </c>
      <c r="F10">
        <v>32</v>
      </c>
      <c r="G10">
        <v>0</v>
      </c>
      <c r="H10">
        <v>0</v>
      </c>
      <c r="I10">
        <v>0</v>
      </c>
      <c r="J10">
        <v>0</v>
      </c>
      <c r="K10">
        <v>0</v>
      </c>
      <c r="L10">
        <v>0</v>
      </c>
      <c r="M10">
        <v>9.99</v>
      </c>
      <c r="N10">
        <v>0</v>
      </c>
      <c r="O10">
        <v>0</v>
      </c>
      <c r="P10">
        <v>2047.95</v>
      </c>
      <c r="Q10">
        <v>2047.95</v>
      </c>
      <c r="R10" s="1" t="s">
        <v>212</v>
      </c>
      <c r="S10" s="1" t="s">
        <v>26</v>
      </c>
      <c r="T10" s="1" t="s">
        <v>27</v>
      </c>
      <c r="U10" s="1" t="s">
        <v>208</v>
      </c>
      <c r="V10" s="1" t="s">
        <v>208</v>
      </c>
    </row>
    <row r="11" spans="1:22" x14ac:dyDescent="0.3">
      <c r="A11" s="1" t="s">
        <v>676</v>
      </c>
      <c r="B11" s="1" t="s">
        <v>677</v>
      </c>
      <c r="C11" s="1" t="s">
        <v>678</v>
      </c>
      <c r="D11" s="1" t="s">
        <v>218</v>
      </c>
      <c r="E11" s="1" t="s">
        <v>34</v>
      </c>
      <c r="F11">
        <v>56</v>
      </c>
      <c r="G11">
        <v>0</v>
      </c>
      <c r="H11">
        <v>0</v>
      </c>
      <c r="I11">
        <v>0</v>
      </c>
      <c r="J11">
        <v>0</v>
      </c>
      <c r="K11">
        <v>0</v>
      </c>
      <c r="L11">
        <v>0</v>
      </c>
      <c r="M11">
        <v>337.26</v>
      </c>
      <c r="N11">
        <v>0</v>
      </c>
      <c r="O11">
        <v>0</v>
      </c>
      <c r="P11">
        <v>69138.3</v>
      </c>
      <c r="Q11">
        <v>69138.3</v>
      </c>
      <c r="R11" s="1" t="s">
        <v>212</v>
      </c>
      <c r="S11" s="1" t="s">
        <v>26</v>
      </c>
      <c r="T11" s="1" t="s">
        <v>27</v>
      </c>
      <c r="U11" s="1" t="s">
        <v>208</v>
      </c>
      <c r="V11" s="1" t="s">
        <v>208</v>
      </c>
    </row>
    <row r="12" spans="1:22" x14ac:dyDescent="0.3">
      <c r="A12" s="1" t="s">
        <v>676</v>
      </c>
      <c r="B12" s="1" t="s">
        <v>677</v>
      </c>
      <c r="C12" s="1" t="s">
        <v>678</v>
      </c>
      <c r="D12" s="1" t="s">
        <v>219</v>
      </c>
      <c r="E12" s="1" t="s">
        <v>220</v>
      </c>
      <c r="F12">
        <v>56</v>
      </c>
      <c r="G12">
        <v>0</v>
      </c>
      <c r="H12">
        <v>0</v>
      </c>
      <c r="I12">
        <v>0</v>
      </c>
      <c r="J12">
        <v>0</v>
      </c>
      <c r="K12">
        <v>0</v>
      </c>
      <c r="L12">
        <v>0</v>
      </c>
      <c r="M12">
        <v>15.65</v>
      </c>
      <c r="N12">
        <v>0</v>
      </c>
      <c r="O12">
        <v>0</v>
      </c>
      <c r="P12">
        <v>3208.25</v>
      </c>
      <c r="Q12">
        <v>3208.25</v>
      </c>
      <c r="R12" s="1" t="s">
        <v>212</v>
      </c>
      <c r="S12" s="1" t="s">
        <v>26</v>
      </c>
      <c r="T12" s="1" t="s">
        <v>27</v>
      </c>
      <c r="U12" s="1" t="s">
        <v>208</v>
      </c>
      <c r="V12" s="1" t="s">
        <v>208</v>
      </c>
    </row>
    <row r="13" spans="1:22" x14ac:dyDescent="0.3">
      <c r="A13" s="1" t="s">
        <v>676</v>
      </c>
      <c r="B13" s="1" t="s">
        <v>677</v>
      </c>
      <c r="C13" s="1" t="s">
        <v>678</v>
      </c>
      <c r="D13" s="1" t="s">
        <v>221</v>
      </c>
      <c r="E13" s="1" t="s">
        <v>35</v>
      </c>
      <c r="F13">
        <v>8</v>
      </c>
      <c r="G13">
        <v>0</v>
      </c>
      <c r="H13">
        <v>0</v>
      </c>
      <c r="I13">
        <v>0</v>
      </c>
      <c r="J13">
        <v>0</v>
      </c>
      <c r="K13">
        <v>0</v>
      </c>
      <c r="L13">
        <v>0</v>
      </c>
      <c r="M13">
        <v>0</v>
      </c>
      <c r="N13">
        <v>0</v>
      </c>
      <c r="O13">
        <v>0</v>
      </c>
      <c r="P13">
        <v>0</v>
      </c>
      <c r="Q13">
        <v>0</v>
      </c>
      <c r="R13" s="1" t="s">
        <v>212</v>
      </c>
      <c r="S13" s="1" t="s">
        <v>26</v>
      </c>
      <c r="T13" s="1" t="s">
        <v>27</v>
      </c>
      <c r="U13" s="1" t="s">
        <v>208</v>
      </c>
      <c r="V13" s="1" t="s">
        <v>208</v>
      </c>
    </row>
    <row r="14" spans="1:22" x14ac:dyDescent="0.3">
      <c r="A14" s="1" t="s">
        <v>676</v>
      </c>
      <c r="B14" s="1" t="s">
        <v>677</v>
      </c>
      <c r="C14" s="1" t="s">
        <v>678</v>
      </c>
      <c r="D14" s="1" t="s">
        <v>222</v>
      </c>
      <c r="E14" s="1" t="s">
        <v>223</v>
      </c>
      <c r="F14">
        <v>120</v>
      </c>
      <c r="G14">
        <v>0</v>
      </c>
      <c r="H14">
        <v>0</v>
      </c>
      <c r="I14">
        <v>0</v>
      </c>
      <c r="J14">
        <v>0</v>
      </c>
      <c r="K14">
        <v>0</v>
      </c>
      <c r="L14">
        <v>0</v>
      </c>
      <c r="M14">
        <v>33.479999999999997</v>
      </c>
      <c r="N14">
        <v>0</v>
      </c>
      <c r="O14">
        <v>0</v>
      </c>
      <c r="P14">
        <v>6863.4</v>
      </c>
      <c r="Q14">
        <v>6863.4</v>
      </c>
      <c r="R14" s="1" t="s">
        <v>224</v>
      </c>
      <c r="S14" s="1" t="s">
        <v>26</v>
      </c>
      <c r="T14" s="1" t="s">
        <v>27</v>
      </c>
      <c r="U14" s="1" t="s">
        <v>208</v>
      </c>
      <c r="V14" s="1" t="s">
        <v>208</v>
      </c>
    </row>
    <row r="15" spans="1:22" x14ac:dyDescent="0.3">
      <c r="A15" s="1" t="s">
        <v>676</v>
      </c>
      <c r="B15" s="1" t="s">
        <v>677</v>
      </c>
      <c r="C15" s="1" t="s">
        <v>678</v>
      </c>
      <c r="D15" s="1" t="s">
        <v>225</v>
      </c>
      <c r="E15" s="1" t="s">
        <v>226</v>
      </c>
      <c r="F15">
        <v>120</v>
      </c>
      <c r="G15">
        <v>0</v>
      </c>
      <c r="H15">
        <v>0</v>
      </c>
      <c r="I15">
        <v>0</v>
      </c>
      <c r="J15">
        <v>0</v>
      </c>
      <c r="K15">
        <v>0</v>
      </c>
      <c r="L15">
        <v>0</v>
      </c>
      <c r="M15">
        <v>33.61</v>
      </c>
      <c r="N15">
        <v>0</v>
      </c>
      <c r="O15">
        <v>0</v>
      </c>
      <c r="P15">
        <v>6890.05</v>
      </c>
      <c r="Q15">
        <v>6890.05</v>
      </c>
      <c r="R15" s="1" t="s">
        <v>224</v>
      </c>
      <c r="S15" s="1" t="s">
        <v>26</v>
      </c>
      <c r="T15" s="1" t="s">
        <v>27</v>
      </c>
      <c r="U15" s="1" t="s">
        <v>208</v>
      </c>
      <c r="V15" s="1" t="s">
        <v>208</v>
      </c>
    </row>
    <row r="16" spans="1:22" x14ac:dyDescent="0.3">
      <c r="A16" s="1" t="s">
        <v>676</v>
      </c>
      <c r="B16" s="1" t="s">
        <v>677</v>
      </c>
      <c r="C16" s="1" t="s">
        <v>678</v>
      </c>
      <c r="D16" s="1" t="s">
        <v>227</v>
      </c>
      <c r="E16" s="1" t="s">
        <v>228</v>
      </c>
      <c r="F16">
        <v>40</v>
      </c>
      <c r="G16">
        <v>0</v>
      </c>
      <c r="H16">
        <v>0</v>
      </c>
      <c r="I16">
        <v>0</v>
      </c>
      <c r="J16">
        <v>0</v>
      </c>
      <c r="K16">
        <v>0</v>
      </c>
      <c r="L16">
        <v>0</v>
      </c>
      <c r="M16">
        <v>105.26</v>
      </c>
      <c r="N16">
        <v>0</v>
      </c>
      <c r="O16">
        <v>0</v>
      </c>
      <c r="P16">
        <v>21578.3</v>
      </c>
      <c r="Q16">
        <v>21578.3</v>
      </c>
      <c r="R16" s="1" t="s">
        <v>224</v>
      </c>
      <c r="S16" s="1" t="s">
        <v>26</v>
      </c>
      <c r="T16" s="1" t="s">
        <v>27</v>
      </c>
      <c r="U16" s="1" t="s">
        <v>208</v>
      </c>
      <c r="V16" s="1" t="s">
        <v>208</v>
      </c>
    </row>
    <row r="17" spans="1:22" x14ac:dyDescent="0.3">
      <c r="A17" s="1" t="s">
        <v>676</v>
      </c>
      <c r="B17" s="1" t="s">
        <v>677</v>
      </c>
      <c r="C17" s="1" t="s">
        <v>678</v>
      </c>
      <c r="D17" s="1" t="s">
        <v>229</v>
      </c>
      <c r="E17" s="1" t="s">
        <v>36</v>
      </c>
      <c r="F17">
        <v>120</v>
      </c>
      <c r="G17">
        <v>0</v>
      </c>
      <c r="H17">
        <v>0</v>
      </c>
      <c r="I17">
        <v>0</v>
      </c>
      <c r="J17">
        <v>0</v>
      </c>
      <c r="K17">
        <v>0</v>
      </c>
      <c r="L17">
        <v>0</v>
      </c>
      <c r="M17">
        <v>24.38</v>
      </c>
      <c r="N17">
        <v>0</v>
      </c>
      <c r="O17">
        <v>0</v>
      </c>
      <c r="P17">
        <v>4997.8999999999996</v>
      </c>
      <c r="Q17">
        <v>4997.8999999999996</v>
      </c>
      <c r="R17" s="1" t="s">
        <v>212</v>
      </c>
      <c r="S17" s="1" t="s">
        <v>26</v>
      </c>
      <c r="T17" s="1" t="s">
        <v>27</v>
      </c>
      <c r="U17" s="1" t="s">
        <v>208</v>
      </c>
      <c r="V17" s="1" t="s">
        <v>208</v>
      </c>
    </row>
    <row r="18" spans="1:22" x14ac:dyDescent="0.3">
      <c r="A18" s="1" t="s">
        <v>676</v>
      </c>
      <c r="B18" s="1" t="s">
        <v>677</v>
      </c>
      <c r="C18" s="1" t="s">
        <v>678</v>
      </c>
      <c r="D18" s="1" t="s">
        <v>230</v>
      </c>
      <c r="E18" s="1" t="s">
        <v>37</v>
      </c>
      <c r="F18">
        <v>32</v>
      </c>
      <c r="G18">
        <v>0</v>
      </c>
      <c r="H18">
        <v>0</v>
      </c>
      <c r="I18">
        <v>0</v>
      </c>
      <c r="J18">
        <v>0</v>
      </c>
      <c r="K18">
        <v>0</v>
      </c>
      <c r="L18">
        <v>0</v>
      </c>
      <c r="M18">
        <v>54.71</v>
      </c>
      <c r="N18">
        <v>0</v>
      </c>
      <c r="O18">
        <v>0</v>
      </c>
      <c r="P18">
        <v>11215.55</v>
      </c>
      <c r="Q18">
        <v>11215.55</v>
      </c>
      <c r="R18" s="1" t="s">
        <v>212</v>
      </c>
      <c r="S18" s="1" t="s">
        <v>26</v>
      </c>
      <c r="T18" s="1" t="s">
        <v>27</v>
      </c>
      <c r="U18" s="1" t="s">
        <v>208</v>
      </c>
      <c r="V18" s="1" t="s">
        <v>208</v>
      </c>
    </row>
    <row r="19" spans="1:22" x14ac:dyDescent="0.3">
      <c r="A19" s="1" t="s">
        <v>676</v>
      </c>
      <c r="B19" s="1" t="s">
        <v>677</v>
      </c>
      <c r="C19" s="1" t="s">
        <v>678</v>
      </c>
      <c r="D19" s="1" t="s">
        <v>231</v>
      </c>
      <c r="E19" s="1" t="s">
        <v>232</v>
      </c>
      <c r="F19">
        <v>32</v>
      </c>
      <c r="G19">
        <v>0</v>
      </c>
      <c r="H19">
        <v>0</v>
      </c>
      <c r="I19">
        <v>0</v>
      </c>
      <c r="J19">
        <v>0</v>
      </c>
      <c r="K19">
        <v>0</v>
      </c>
      <c r="L19">
        <v>0</v>
      </c>
      <c r="M19">
        <v>0</v>
      </c>
      <c r="N19">
        <v>0</v>
      </c>
      <c r="O19">
        <v>0</v>
      </c>
      <c r="P19">
        <v>0</v>
      </c>
      <c r="Q19">
        <v>0</v>
      </c>
      <c r="R19" s="1" t="s">
        <v>212</v>
      </c>
      <c r="S19" s="1" t="s">
        <v>26</v>
      </c>
      <c r="T19" s="1" t="s">
        <v>27</v>
      </c>
      <c r="U19" s="1" t="s">
        <v>208</v>
      </c>
      <c r="V19" s="1" t="s">
        <v>208</v>
      </c>
    </row>
    <row r="20" spans="1:22" x14ac:dyDescent="0.3">
      <c r="A20" s="1" t="s">
        <v>676</v>
      </c>
      <c r="B20" s="1" t="s">
        <v>677</v>
      </c>
      <c r="C20" s="1" t="s">
        <v>678</v>
      </c>
      <c r="D20" s="1" t="s">
        <v>233</v>
      </c>
      <c r="E20" s="1" t="s">
        <v>38</v>
      </c>
      <c r="F20">
        <v>56</v>
      </c>
      <c r="G20">
        <v>0</v>
      </c>
      <c r="H20">
        <v>0</v>
      </c>
      <c r="I20">
        <v>0</v>
      </c>
      <c r="J20">
        <v>0</v>
      </c>
      <c r="K20">
        <v>0</v>
      </c>
      <c r="L20">
        <v>0</v>
      </c>
      <c r="M20">
        <v>18.940000000000001</v>
      </c>
      <c r="N20">
        <v>0</v>
      </c>
      <c r="O20">
        <v>0</v>
      </c>
      <c r="P20">
        <v>3882.7</v>
      </c>
      <c r="Q20">
        <v>3882.7</v>
      </c>
      <c r="R20" s="1" t="s">
        <v>212</v>
      </c>
      <c r="S20" s="1" t="s">
        <v>26</v>
      </c>
      <c r="T20" s="1" t="s">
        <v>27</v>
      </c>
      <c r="U20" s="1" t="s">
        <v>208</v>
      </c>
      <c r="V20" s="1" t="s">
        <v>208</v>
      </c>
    </row>
    <row r="21" spans="1:22" x14ac:dyDescent="0.3">
      <c r="A21" s="1" t="s">
        <v>676</v>
      </c>
      <c r="B21" s="1" t="s">
        <v>677</v>
      </c>
      <c r="C21" s="1" t="s">
        <v>678</v>
      </c>
      <c r="D21" s="1" t="s">
        <v>234</v>
      </c>
      <c r="E21" s="1" t="s">
        <v>235</v>
      </c>
      <c r="F21">
        <v>8</v>
      </c>
      <c r="G21">
        <v>0</v>
      </c>
      <c r="H21">
        <v>0</v>
      </c>
      <c r="I21">
        <v>0</v>
      </c>
      <c r="J21">
        <v>0</v>
      </c>
      <c r="K21">
        <v>0</v>
      </c>
      <c r="L21">
        <v>0</v>
      </c>
      <c r="M21">
        <v>0</v>
      </c>
      <c r="N21">
        <v>0</v>
      </c>
      <c r="O21">
        <v>0</v>
      </c>
      <c r="P21">
        <v>0</v>
      </c>
      <c r="Q21">
        <v>0</v>
      </c>
      <c r="R21" s="1" t="s">
        <v>212</v>
      </c>
      <c r="S21" s="1" t="s">
        <v>26</v>
      </c>
      <c r="T21" s="1" t="s">
        <v>27</v>
      </c>
      <c r="U21" s="1" t="s">
        <v>208</v>
      </c>
      <c r="V21" s="1" t="s">
        <v>208</v>
      </c>
    </row>
    <row r="22" spans="1:22" x14ac:dyDescent="0.3">
      <c r="A22" s="1" t="s">
        <v>676</v>
      </c>
      <c r="B22" s="1" t="s">
        <v>677</v>
      </c>
      <c r="C22" s="1" t="s">
        <v>678</v>
      </c>
      <c r="D22" s="1" t="s">
        <v>236</v>
      </c>
      <c r="E22" s="1" t="s">
        <v>237</v>
      </c>
      <c r="F22">
        <v>24</v>
      </c>
      <c r="G22">
        <v>0</v>
      </c>
      <c r="H22">
        <v>0</v>
      </c>
      <c r="I22">
        <v>0</v>
      </c>
      <c r="J22">
        <v>0</v>
      </c>
      <c r="K22">
        <v>0</v>
      </c>
      <c r="L22">
        <v>0</v>
      </c>
      <c r="M22">
        <v>9.2899999999999991</v>
      </c>
      <c r="N22">
        <v>0</v>
      </c>
      <c r="O22">
        <v>0</v>
      </c>
      <c r="P22">
        <v>1904.45</v>
      </c>
      <c r="Q22">
        <v>1904.45</v>
      </c>
      <c r="R22" s="1" t="s">
        <v>212</v>
      </c>
      <c r="S22" s="1" t="s">
        <v>26</v>
      </c>
      <c r="T22" s="1" t="s">
        <v>27</v>
      </c>
      <c r="U22" s="1" t="s">
        <v>208</v>
      </c>
      <c r="V22" s="1" t="s">
        <v>208</v>
      </c>
    </row>
    <row r="23" spans="1:22" x14ac:dyDescent="0.3">
      <c r="A23" s="1" t="s">
        <v>676</v>
      </c>
      <c r="B23" s="1" t="s">
        <v>677</v>
      </c>
      <c r="C23" s="1" t="s">
        <v>678</v>
      </c>
      <c r="D23" s="1" t="s">
        <v>238</v>
      </c>
      <c r="E23" s="1" t="s">
        <v>239</v>
      </c>
      <c r="F23">
        <v>40</v>
      </c>
      <c r="G23">
        <v>0</v>
      </c>
      <c r="H23">
        <v>0</v>
      </c>
      <c r="I23">
        <v>0</v>
      </c>
      <c r="J23">
        <v>0</v>
      </c>
      <c r="K23">
        <v>0</v>
      </c>
      <c r="L23">
        <v>0</v>
      </c>
      <c r="M23">
        <v>0</v>
      </c>
      <c r="N23">
        <v>0</v>
      </c>
      <c r="O23">
        <v>0</v>
      </c>
      <c r="P23">
        <v>0</v>
      </c>
      <c r="Q23">
        <v>0</v>
      </c>
      <c r="R23" s="1" t="s">
        <v>212</v>
      </c>
      <c r="S23" s="1" t="s">
        <v>26</v>
      </c>
      <c r="T23" s="1" t="s">
        <v>27</v>
      </c>
      <c r="U23" s="1" t="s">
        <v>208</v>
      </c>
      <c r="V23" s="1" t="s">
        <v>208</v>
      </c>
    </row>
    <row r="24" spans="1:22" x14ac:dyDescent="0.3">
      <c r="A24" s="1" t="s">
        <v>676</v>
      </c>
      <c r="B24" s="1" t="s">
        <v>677</v>
      </c>
      <c r="C24" s="1" t="s">
        <v>678</v>
      </c>
      <c r="D24" s="1" t="s">
        <v>240</v>
      </c>
      <c r="E24" s="1" t="s">
        <v>241</v>
      </c>
      <c r="F24">
        <v>8</v>
      </c>
      <c r="G24">
        <v>0</v>
      </c>
      <c r="H24">
        <v>0</v>
      </c>
      <c r="I24">
        <v>0</v>
      </c>
      <c r="J24">
        <v>0</v>
      </c>
      <c r="K24">
        <v>0</v>
      </c>
      <c r="L24">
        <v>0</v>
      </c>
      <c r="M24">
        <v>0</v>
      </c>
      <c r="N24">
        <v>0</v>
      </c>
      <c r="O24">
        <v>0</v>
      </c>
      <c r="P24">
        <v>0</v>
      </c>
      <c r="Q24">
        <v>0</v>
      </c>
      <c r="R24" s="1" t="s">
        <v>212</v>
      </c>
      <c r="S24" s="1" t="s">
        <v>26</v>
      </c>
      <c r="T24" s="1" t="s">
        <v>27</v>
      </c>
      <c r="U24" s="1" t="s">
        <v>208</v>
      </c>
      <c r="V24" s="1" t="s">
        <v>208</v>
      </c>
    </row>
    <row r="25" spans="1:22" x14ac:dyDescent="0.3">
      <c r="A25" s="1" t="s">
        <v>676</v>
      </c>
      <c r="B25" s="1" t="s">
        <v>677</v>
      </c>
      <c r="C25" s="1" t="s">
        <v>678</v>
      </c>
      <c r="D25" s="1" t="s">
        <v>15</v>
      </c>
      <c r="E25" s="1" t="s">
        <v>242</v>
      </c>
      <c r="F25">
        <v>400</v>
      </c>
      <c r="G25">
        <v>0</v>
      </c>
      <c r="H25">
        <v>0</v>
      </c>
      <c r="I25">
        <v>0</v>
      </c>
      <c r="J25">
        <v>0</v>
      </c>
      <c r="K25">
        <v>0</v>
      </c>
      <c r="L25">
        <v>0</v>
      </c>
      <c r="M25">
        <v>0</v>
      </c>
      <c r="N25">
        <v>0</v>
      </c>
      <c r="O25">
        <v>0</v>
      </c>
      <c r="P25">
        <v>0</v>
      </c>
      <c r="Q25">
        <v>0</v>
      </c>
      <c r="R25" s="1" t="s">
        <v>243</v>
      </c>
      <c r="S25" s="1" t="s">
        <v>26</v>
      </c>
      <c r="T25" s="1" t="s">
        <v>27</v>
      </c>
      <c r="U25" s="1" t="s">
        <v>208</v>
      </c>
      <c r="V25" s="1" t="s">
        <v>208</v>
      </c>
    </row>
    <row r="26" spans="1:22" x14ac:dyDescent="0.3">
      <c r="A26" s="1" t="s">
        <v>676</v>
      </c>
      <c r="B26" s="1" t="s">
        <v>677</v>
      </c>
      <c r="C26" s="1" t="s">
        <v>678</v>
      </c>
      <c r="D26" s="1" t="s">
        <v>16</v>
      </c>
      <c r="E26" s="1" t="s">
        <v>246</v>
      </c>
      <c r="F26">
        <v>0</v>
      </c>
      <c r="G26">
        <v>0</v>
      </c>
      <c r="H26">
        <v>0</v>
      </c>
      <c r="I26">
        <v>0</v>
      </c>
      <c r="J26">
        <v>0</v>
      </c>
      <c r="K26">
        <v>0</v>
      </c>
      <c r="L26">
        <v>0</v>
      </c>
      <c r="M26">
        <v>70.84</v>
      </c>
      <c r="N26">
        <v>0</v>
      </c>
      <c r="O26">
        <v>0</v>
      </c>
      <c r="P26">
        <v>10378.11</v>
      </c>
      <c r="Q26">
        <v>10378.11</v>
      </c>
      <c r="R26" s="1" t="s">
        <v>207</v>
      </c>
      <c r="S26" s="1" t="s">
        <v>26</v>
      </c>
      <c r="T26" s="1" t="s">
        <v>27</v>
      </c>
      <c r="U26" s="1" t="s">
        <v>208</v>
      </c>
      <c r="V26" s="1" t="s">
        <v>208</v>
      </c>
    </row>
    <row r="27" spans="1:22" x14ac:dyDescent="0.3">
      <c r="A27" s="1" t="s">
        <v>676</v>
      </c>
      <c r="B27" s="1" t="s">
        <v>679</v>
      </c>
      <c r="C27" s="1" t="s">
        <v>248</v>
      </c>
      <c r="D27" s="1" t="s">
        <v>249</v>
      </c>
      <c r="E27" s="1" t="s">
        <v>250</v>
      </c>
      <c r="F27">
        <v>0</v>
      </c>
      <c r="G27">
        <v>0</v>
      </c>
      <c r="H27">
        <v>0</v>
      </c>
      <c r="I27">
        <v>0</v>
      </c>
      <c r="J27">
        <v>0</v>
      </c>
      <c r="K27">
        <v>0</v>
      </c>
      <c r="L27">
        <v>0</v>
      </c>
      <c r="M27">
        <v>0.92</v>
      </c>
      <c r="N27">
        <v>0</v>
      </c>
      <c r="O27">
        <v>0</v>
      </c>
      <c r="P27">
        <v>190.44</v>
      </c>
      <c r="Q27">
        <v>190.44</v>
      </c>
      <c r="R27" s="1" t="s">
        <v>212</v>
      </c>
      <c r="S27" s="1" t="s">
        <v>63</v>
      </c>
      <c r="T27" s="1" t="s">
        <v>64</v>
      </c>
      <c r="U27" s="1" t="s">
        <v>192</v>
      </c>
      <c r="V27" s="1"/>
    </row>
    <row r="28" spans="1:22" x14ac:dyDescent="0.3">
      <c r="A28" s="1" t="s">
        <v>676</v>
      </c>
      <c r="B28" s="1" t="s">
        <v>680</v>
      </c>
      <c r="C28" s="1" t="s">
        <v>365</v>
      </c>
      <c r="D28" s="1" t="s">
        <v>200</v>
      </c>
      <c r="E28" s="1" t="s">
        <v>272</v>
      </c>
      <c r="F28">
        <v>0</v>
      </c>
      <c r="G28">
        <v>0</v>
      </c>
      <c r="H28">
        <v>0</v>
      </c>
      <c r="I28">
        <v>0</v>
      </c>
      <c r="J28">
        <v>0</v>
      </c>
      <c r="K28">
        <v>0</v>
      </c>
      <c r="L28">
        <v>0</v>
      </c>
      <c r="M28">
        <v>6.14</v>
      </c>
      <c r="N28">
        <v>0</v>
      </c>
      <c r="O28">
        <v>128.94</v>
      </c>
      <c r="P28">
        <v>644.70000000000005</v>
      </c>
      <c r="Q28">
        <v>773.6400000000001</v>
      </c>
      <c r="R28" s="1" t="s">
        <v>273</v>
      </c>
      <c r="S28" s="1" t="s">
        <v>63</v>
      </c>
      <c r="T28" s="1" t="s">
        <v>64</v>
      </c>
      <c r="U28" s="1" t="s">
        <v>192</v>
      </c>
      <c r="V28" s="1"/>
    </row>
    <row r="29" spans="1:22" x14ac:dyDescent="0.3">
      <c r="A29" s="1" t="s">
        <v>676</v>
      </c>
      <c r="B29" s="1" t="s">
        <v>681</v>
      </c>
      <c r="C29" s="1" t="s">
        <v>365</v>
      </c>
      <c r="D29" s="1" t="s">
        <v>200</v>
      </c>
      <c r="E29" s="1" t="s">
        <v>272</v>
      </c>
      <c r="F29">
        <v>0</v>
      </c>
      <c r="G29">
        <v>0</v>
      </c>
      <c r="H29">
        <v>0</v>
      </c>
      <c r="I29">
        <v>0</v>
      </c>
      <c r="J29">
        <v>0</v>
      </c>
      <c r="K29">
        <v>0</v>
      </c>
      <c r="L29">
        <v>0</v>
      </c>
      <c r="M29">
        <v>3.44</v>
      </c>
      <c r="N29">
        <v>0</v>
      </c>
      <c r="O29">
        <v>72.239999999999995</v>
      </c>
      <c r="P29">
        <v>361.2</v>
      </c>
      <c r="Q29">
        <v>433.44</v>
      </c>
      <c r="R29" s="1" t="s">
        <v>273</v>
      </c>
      <c r="S29" s="1" t="s">
        <v>63</v>
      </c>
      <c r="T29" s="1" t="s">
        <v>64</v>
      </c>
      <c r="U29" s="1" t="s">
        <v>192</v>
      </c>
      <c r="V29" s="1"/>
    </row>
    <row r="30" spans="1:22" x14ac:dyDescent="0.3">
      <c r="A30" s="1" t="s">
        <v>676</v>
      </c>
      <c r="B30" s="1" t="s">
        <v>682</v>
      </c>
      <c r="C30" s="1" t="s">
        <v>252</v>
      </c>
      <c r="D30" s="1" t="s">
        <v>249</v>
      </c>
      <c r="E30" s="1" t="s">
        <v>250</v>
      </c>
      <c r="F30">
        <v>0</v>
      </c>
      <c r="G30">
        <v>0</v>
      </c>
      <c r="H30">
        <v>0</v>
      </c>
      <c r="I30">
        <v>0</v>
      </c>
      <c r="J30">
        <v>0</v>
      </c>
      <c r="K30">
        <v>0</v>
      </c>
      <c r="L30">
        <v>0</v>
      </c>
      <c r="M30">
        <v>1.1599999999999999</v>
      </c>
      <c r="N30">
        <v>0</v>
      </c>
      <c r="O30">
        <v>0</v>
      </c>
      <c r="P30">
        <v>240.12</v>
      </c>
      <c r="Q30">
        <v>240.12</v>
      </c>
      <c r="R30" s="1" t="s">
        <v>212</v>
      </c>
      <c r="S30" s="1" t="s">
        <v>63</v>
      </c>
      <c r="T30" s="1" t="s">
        <v>64</v>
      </c>
      <c r="U30" s="1" t="s">
        <v>192</v>
      </c>
      <c r="V30" s="1"/>
    </row>
    <row r="31" spans="1:22" x14ac:dyDescent="0.3">
      <c r="A31" s="1" t="s">
        <v>676</v>
      </c>
      <c r="B31" s="1" t="s">
        <v>683</v>
      </c>
      <c r="C31" s="1" t="s">
        <v>254</v>
      </c>
      <c r="D31" s="1" t="s">
        <v>249</v>
      </c>
      <c r="E31" s="1" t="s">
        <v>199</v>
      </c>
      <c r="F31">
        <v>0</v>
      </c>
      <c r="G31">
        <v>0</v>
      </c>
      <c r="H31">
        <v>0</v>
      </c>
      <c r="I31">
        <v>0</v>
      </c>
      <c r="J31">
        <v>0</v>
      </c>
      <c r="K31">
        <v>0</v>
      </c>
      <c r="L31">
        <v>0</v>
      </c>
      <c r="M31">
        <v>2.64</v>
      </c>
      <c r="N31">
        <v>0</v>
      </c>
      <c r="O31">
        <v>0</v>
      </c>
      <c r="P31">
        <v>546.48</v>
      </c>
      <c r="Q31">
        <v>546.48</v>
      </c>
      <c r="R31" s="1" t="s">
        <v>212</v>
      </c>
      <c r="S31" s="1" t="s">
        <v>63</v>
      </c>
      <c r="T31" s="1" t="s">
        <v>64</v>
      </c>
      <c r="U31" s="1" t="s">
        <v>192</v>
      </c>
      <c r="V31" s="1"/>
    </row>
    <row r="32" spans="1:22" x14ac:dyDescent="0.3">
      <c r="A32" s="1" t="s">
        <v>676</v>
      </c>
      <c r="B32" s="1" t="s">
        <v>684</v>
      </c>
      <c r="C32" s="1" t="s">
        <v>257</v>
      </c>
      <c r="D32" s="1" t="s">
        <v>249</v>
      </c>
      <c r="E32" s="1" t="s">
        <v>199</v>
      </c>
      <c r="F32">
        <v>0</v>
      </c>
      <c r="G32">
        <v>0</v>
      </c>
      <c r="H32">
        <v>0</v>
      </c>
      <c r="I32">
        <v>0</v>
      </c>
      <c r="J32">
        <v>0</v>
      </c>
      <c r="K32">
        <v>0</v>
      </c>
      <c r="L32">
        <v>0</v>
      </c>
      <c r="M32">
        <v>1.3</v>
      </c>
      <c r="N32">
        <v>0</v>
      </c>
      <c r="O32">
        <v>0</v>
      </c>
      <c r="P32">
        <v>266.5</v>
      </c>
      <c r="Q32">
        <v>266.5</v>
      </c>
      <c r="R32" s="1" t="s">
        <v>212</v>
      </c>
      <c r="S32" s="1" t="s">
        <v>63</v>
      </c>
      <c r="T32" s="1" t="s">
        <v>64</v>
      </c>
      <c r="U32" s="1" t="s">
        <v>192</v>
      </c>
      <c r="V32" s="1"/>
    </row>
    <row r="33" spans="1:22" x14ac:dyDescent="0.3">
      <c r="A33" s="1" t="s">
        <v>676</v>
      </c>
      <c r="B33" s="1" t="s">
        <v>685</v>
      </c>
      <c r="C33" s="1" t="s">
        <v>266</v>
      </c>
      <c r="D33" s="1" t="s">
        <v>249</v>
      </c>
      <c r="E33" s="1" t="s">
        <v>199</v>
      </c>
      <c r="F33">
        <v>0</v>
      </c>
      <c r="G33">
        <v>0</v>
      </c>
      <c r="H33">
        <v>0</v>
      </c>
      <c r="I33">
        <v>0</v>
      </c>
      <c r="J33">
        <v>0</v>
      </c>
      <c r="K33">
        <v>0</v>
      </c>
      <c r="L33">
        <v>0</v>
      </c>
      <c r="M33">
        <v>15.06</v>
      </c>
      <c r="N33">
        <v>0</v>
      </c>
      <c r="O33">
        <v>0</v>
      </c>
      <c r="P33">
        <v>3087.3</v>
      </c>
      <c r="Q33">
        <v>3087.3</v>
      </c>
      <c r="R33" s="1" t="s">
        <v>212</v>
      </c>
      <c r="S33" s="1" t="s">
        <v>63</v>
      </c>
      <c r="T33" s="1" t="s">
        <v>64</v>
      </c>
      <c r="U33" s="1" t="s">
        <v>208</v>
      </c>
      <c r="V33" s="1"/>
    </row>
    <row r="34" spans="1:22" x14ac:dyDescent="0.3">
      <c r="A34" s="1" t="s">
        <v>676</v>
      </c>
      <c r="B34" s="1" t="s">
        <v>685</v>
      </c>
      <c r="C34" s="1" t="s">
        <v>266</v>
      </c>
      <c r="D34" s="1" t="s">
        <v>16</v>
      </c>
      <c r="E34" s="1" t="s">
        <v>255</v>
      </c>
      <c r="F34">
        <v>0</v>
      </c>
      <c r="G34">
        <v>0</v>
      </c>
      <c r="H34">
        <v>0</v>
      </c>
      <c r="I34">
        <v>0</v>
      </c>
      <c r="J34">
        <v>0</v>
      </c>
      <c r="K34">
        <v>0</v>
      </c>
      <c r="L34">
        <v>0</v>
      </c>
      <c r="M34">
        <v>10.37</v>
      </c>
      <c r="N34">
        <v>0</v>
      </c>
      <c r="O34">
        <v>0</v>
      </c>
      <c r="P34">
        <v>1519.2</v>
      </c>
      <c r="Q34">
        <v>1519.2</v>
      </c>
      <c r="R34" s="1" t="s">
        <v>207</v>
      </c>
      <c r="S34" s="1" t="s">
        <v>63</v>
      </c>
      <c r="T34" s="1" t="s">
        <v>64</v>
      </c>
      <c r="U34" s="1" t="s">
        <v>208</v>
      </c>
      <c r="V34" s="1"/>
    </row>
    <row r="35" spans="1:22" x14ac:dyDescent="0.3">
      <c r="A35" s="1" t="s">
        <v>676</v>
      </c>
      <c r="B35" s="1" t="s">
        <v>685</v>
      </c>
      <c r="C35" s="1" t="s">
        <v>266</v>
      </c>
      <c r="D35" s="1" t="s">
        <v>263</v>
      </c>
      <c r="E35" s="1" t="s">
        <v>267</v>
      </c>
      <c r="F35">
        <v>0</v>
      </c>
      <c r="G35">
        <v>0</v>
      </c>
      <c r="H35">
        <v>0</v>
      </c>
      <c r="I35">
        <v>0</v>
      </c>
      <c r="J35">
        <v>0</v>
      </c>
      <c r="K35">
        <v>0</v>
      </c>
      <c r="L35">
        <v>0</v>
      </c>
      <c r="M35">
        <v>1.2</v>
      </c>
      <c r="N35">
        <v>0</v>
      </c>
      <c r="O35">
        <v>25.2</v>
      </c>
      <c r="P35">
        <v>127.2</v>
      </c>
      <c r="Q35">
        <v>152.4</v>
      </c>
      <c r="R35" s="1" t="s">
        <v>264</v>
      </c>
      <c r="S35" s="1" t="s">
        <v>63</v>
      </c>
      <c r="T35" s="1" t="s">
        <v>64</v>
      </c>
      <c r="U35" s="1" t="s">
        <v>208</v>
      </c>
      <c r="V35" s="1"/>
    </row>
    <row r="36" spans="1:22" x14ac:dyDescent="0.3">
      <c r="A36" s="1" t="s">
        <v>676</v>
      </c>
      <c r="B36" s="1" t="s">
        <v>686</v>
      </c>
      <c r="C36" s="1" t="s">
        <v>269</v>
      </c>
      <c r="D36" s="1" t="s">
        <v>249</v>
      </c>
      <c r="E36" s="1" t="s">
        <v>199</v>
      </c>
      <c r="F36">
        <v>0</v>
      </c>
      <c r="G36">
        <v>0</v>
      </c>
      <c r="H36">
        <v>0</v>
      </c>
      <c r="I36">
        <v>0</v>
      </c>
      <c r="J36">
        <v>0</v>
      </c>
      <c r="K36">
        <v>0</v>
      </c>
      <c r="L36">
        <v>0</v>
      </c>
      <c r="M36">
        <v>22.08</v>
      </c>
      <c r="N36">
        <v>0</v>
      </c>
      <c r="O36">
        <v>0</v>
      </c>
      <c r="P36">
        <v>4526.3999999999996</v>
      </c>
      <c r="Q36">
        <v>4526.3999999999996</v>
      </c>
      <c r="R36" s="1" t="s">
        <v>212</v>
      </c>
      <c r="S36" s="1" t="s">
        <v>63</v>
      </c>
      <c r="T36" s="1" t="s">
        <v>64</v>
      </c>
      <c r="U36" s="1" t="s">
        <v>192</v>
      </c>
      <c r="V36" s="1"/>
    </row>
    <row r="37" spans="1:22" x14ac:dyDescent="0.3">
      <c r="A37" s="1" t="s">
        <v>676</v>
      </c>
      <c r="B37" s="1" t="s">
        <v>687</v>
      </c>
      <c r="C37" s="1" t="s">
        <v>271</v>
      </c>
      <c r="D37" s="1" t="s">
        <v>249</v>
      </c>
      <c r="E37" s="1" t="s">
        <v>199</v>
      </c>
      <c r="F37">
        <v>0</v>
      </c>
      <c r="G37">
        <v>0</v>
      </c>
      <c r="H37">
        <v>0</v>
      </c>
      <c r="I37">
        <v>0</v>
      </c>
      <c r="J37">
        <v>0</v>
      </c>
      <c r="K37">
        <v>0</v>
      </c>
      <c r="L37">
        <v>0</v>
      </c>
      <c r="M37">
        <v>5.18</v>
      </c>
      <c r="N37">
        <v>0</v>
      </c>
      <c r="O37">
        <v>0</v>
      </c>
      <c r="P37">
        <v>1061.9000000000001</v>
      </c>
      <c r="Q37">
        <v>1061.9000000000001</v>
      </c>
      <c r="R37" s="1" t="s">
        <v>212</v>
      </c>
      <c r="S37" s="1" t="s">
        <v>63</v>
      </c>
      <c r="T37" s="1" t="s">
        <v>64</v>
      </c>
      <c r="U37" s="1" t="s">
        <v>192</v>
      </c>
      <c r="V37" s="1"/>
    </row>
    <row r="38" spans="1:22" x14ac:dyDescent="0.3">
      <c r="A38" s="1" t="s">
        <v>202</v>
      </c>
      <c r="B38" s="1" t="s">
        <v>203</v>
      </c>
      <c r="C38" s="1" t="s">
        <v>204</v>
      </c>
      <c r="D38" s="1" t="s">
        <v>205</v>
      </c>
      <c r="E38" s="1" t="s">
        <v>206</v>
      </c>
      <c r="F38">
        <v>0</v>
      </c>
      <c r="G38">
        <v>0</v>
      </c>
      <c r="H38">
        <v>0</v>
      </c>
      <c r="I38">
        <v>0</v>
      </c>
      <c r="J38">
        <v>0</v>
      </c>
      <c r="K38">
        <v>0</v>
      </c>
      <c r="L38">
        <v>0</v>
      </c>
      <c r="M38">
        <v>891.5</v>
      </c>
      <c r="N38">
        <v>0</v>
      </c>
      <c r="O38">
        <v>0</v>
      </c>
      <c r="P38">
        <v>130604.75</v>
      </c>
      <c r="Q38">
        <v>130604.75</v>
      </c>
      <c r="R38" s="1" t="s">
        <v>207</v>
      </c>
      <c r="S38" s="1" t="s">
        <v>26</v>
      </c>
      <c r="T38" s="1" t="s">
        <v>27</v>
      </c>
      <c r="U38" s="1" t="s">
        <v>192</v>
      </c>
      <c r="V38" s="1" t="s">
        <v>208</v>
      </c>
    </row>
    <row r="39" spans="1:22" x14ac:dyDescent="0.3">
      <c r="A39" s="1" t="s">
        <v>202</v>
      </c>
      <c r="B39" s="1" t="s">
        <v>203</v>
      </c>
      <c r="C39" s="1" t="s">
        <v>204</v>
      </c>
      <c r="D39" s="1" t="s">
        <v>196</v>
      </c>
      <c r="E39" s="1" t="s">
        <v>197</v>
      </c>
      <c r="F39">
        <v>0</v>
      </c>
      <c r="G39">
        <v>0</v>
      </c>
      <c r="H39">
        <v>0</v>
      </c>
      <c r="I39">
        <v>0</v>
      </c>
      <c r="J39">
        <v>0</v>
      </c>
      <c r="K39">
        <v>0</v>
      </c>
      <c r="L39">
        <v>0</v>
      </c>
      <c r="M39">
        <v>128</v>
      </c>
      <c r="N39">
        <v>0</v>
      </c>
      <c r="O39">
        <v>3440.79</v>
      </c>
      <c r="P39">
        <v>7300.73</v>
      </c>
      <c r="Q39">
        <v>10741.52</v>
      </c>
      <c r="R39" s="1" t="s">
        <v>198</v>
      </c>
      <c r="S39" s="1" t="s">
        <v>26</v>
      </c>
      <c r="T39" s="1" t="s">
        <v>27</v>
      </c>
      <c r="U39" s="1" t="s">
        <v>192</v>
      </c>
      <c r="V39" s="1" t="s">
        <v>208</v>
      </c>
    </row>
    <row r="40" spans="1:22" x14ac:dyDescent="0.3">
      <c r="A40" s="1" t="s">
        <v>202</v>
      </c>
      <c r="B40" s="1" t="s">
        <v>203</v>
      </c>
      <c r="C40" s="1" t="s">
        <v>204</v>
      </c>
      <c r="D40" s="1" t="s">
        <v>28</v>
      </c>
      <c r="E40" s="1" t="s">
        <v>209</v>
      </c>
      <c r="F40">
        <v>0</v>
      </c>
      <c r="G40">
        <v>0</v>
      </c>
      <c r="H40">
        <v>0</v>
      </c>
      <c r="I40">
        <v>0</v>
      </c>
      <c r="J40">
        <v>0</v>
      </c>
      <c r="K40">
        <v>0</v>
      </c>
      <c r="L40">
        <v>284.10000000000002</v>
      </c>
      <c r="M40">
        <v>1949.94</v>
      </c>
      <c r="N40">
        <v>0</v>
      </c>
      <c r="O40">
        <v>0</v>
      </c>
      <c r="P40">
        <v>285666.49</v>
      </c>
      <c r="Q40">
        <v>285666.49</v>
      </c>
      <c r="R40" s="1" t="s">
        <v>210</v>
      </c>
      <c r="S40" s="1" t="s">
        <v>26</v>
      </c>
      <c r="T40" s="1" t="s">
        <v>27</v>
      </c>
      <c r="U40" s="1" t="s">
        <v>192</v>
      </c>
      <c r="V40" s="1" t="s">
        <v>208</v>
      </c>
    </row>
    <row r="41" spans="1:22" x14ac:dyDescent="0.3">
      <c r="A41" s="1" t="s">
        <v>202</v>
      </c>
      <c r="B41" s="1" t="s">
        <v>203</v>
      </c>
      <c r="C41" s="1" t="s">
        <v>204</v>
      </c>
      <c r="D41" s="1" t="s">
        <v>30</v>
      </c>
      <c r="E41" s="1" t="s">
        <v>211</v>
      </c>
      <c r="F41">
        <v>4</v>
      </c>
      <c r="G41">
        <v>0</v>
      </c>
      <c r="H41">
        <v>0</v>
      </c>
      <c r="I41">
        <v>0</v>
      </c>
      <c r="J41">
        <v>0</v>
      </c>
      <c r="K41">
        <v>0</v>
      </c>
      <c r="L41">
        <v>0</v>
      </c>
      <c r="M41">
        <v>0</v>
      </c>
      <c r="N41">
        <v>0</v>
      </c>
      <c r="O41">
        <v>0</v>
      </c>
      <c r="P41">
        <v>0</v>
      </c>
      <c r="Q41">
        <v>0</v>
      </c>
      <c r="R41" s="1" t="s">
        <v>212</v>
      </c>
      <c r="S41" s="1" t="s">
        <v>26</v>
      </c>
      <c r="T41" s="1" t="s">
        <v>27</v>
      </c>
      <c r="U41" s="1" t="s">
        <v>192</v>
      </c>
      <c r="V41" s="1" t="s">
        <v>208</v>
      </c>
    </row>
    <row r="42" spans="1:22" x14ac:dyDescent="0.3">
      <c r="A42" s="1" t="s">
        <v>202</v>
      </c>
      <c r="B42" s="1" t="s">
        <v>203</v>
      </c>
      <c r="C42" s="1" t="s">
        <v>204</v>
      </c>
      <c r="D42" s="1" t="s">
        <v>193</v>
      </c>
      <c r="E42" s="1" t="s">
        <v>31</v>
      </c>
      <c r="F42">
        <v>32</v>
      </c>
      <c r="G42">
        <v>0</v>
      </c>
      <c r="H42">
        <v>0</v>
      </c>
      <c r="I42">
        <v>0</v>
      </c>
      <c r="J42">
        <v>0</v>
      </c>
      <c r="K42">
        <v>0</v>
      </c>
      <c r="L42">
        <v>0</v>
      </c>
      <c r="M42">
        <v>4.8099999999999996</v>
      </c>
      <c r="N42">
        <v>0</v>
      </c>
      <c r="O42">
        <v>0</v>
      </c>
      <c r="P42">
        <v>986.05</v>
      </c>
      <c r="Q42">
        <v>986.05</v>
      </c>
      <c r="R42" s="1" t="s">
        <v>212</v>
      </c>
      <c r="S42" s="1" t="s">
        <v>26</v>
      </c>
      <c r="T42" s="1" t="s">
        <v>27</v>
      </c>
      <c r="U42" s="1" t="s">
        <v>192</v>
      </c>
      <c r="V42" s="1" t="s">
        <v>208</v>
      </c>
    </row>
    <row r="43" spans="1:22" x14ac:dyDescent="0.3">
      <c r="A43" s="1" t="s">
        <v>202</v>
      </c>
      <c r="B43" s="1" t="s">
        <v>203</v>
      </c>
      <c r="C43" s="1" t="s">
        <v>204</v>
      </c>
      <c r="D43" s="1" t="s">
        <v>213</v>
      </c>
      <c r="E43" s="1" t="s">
        <v>32</v>
      </c>
      <c r="F43">
        <v>32</v>
      </c>
      <c r="G43">
        <v>0</v>
      </c>
      <c r="H43">
        <v>0</v>
      </c>
      <c r="I43">
        <v>0</v>
      </c>
      <c r="J43">
        <v>0</v>
      </c>
      <c r="K43">
        <v>0</v>
      </c>
      <c r="L43">
        <v>0</v>
      </c>
      <c r="M43">
        <v>0</v>
      </c>
      <c r="N43">
        <v>0</v>
      </c>
      <c r="O43">
        <v>0</v>
      </c>
      <c r="P43">
        <v>0</v>
      </c>
      <c r="Q43">
        <v>0</v>
      </c>
      <c r="R43" s="1" t="s">
        <v>212</v>
      </c>
      <c r="S43" s="1" t="s">
        <v>26</v>
      </c>
      <c r="T43" s="1" t="s">
        <v>27</v>
      </c>
      <c r="U43" s="1" t="s">
        <v>192</v>
      </c>
      <c r="V43" s="1" t="s">
        <v>208</v>
      </c>
    </row>
    <row r="44" spans="1:22" x14ac:dyDescent="0.3">
      <c r="A44" s="1" t="s">
        <v>202</v>
      </c>
      <c r="B44" s="1" t="s">
        <v>203</v>
      </c>
      <c r="C44" s="1" t="s">
        <v>204</v>
      </c>
      <c r="D44" s="1" t="s">
        <v>194</v>
      </c>
      <c r="E44" s="1" t="s">
        <v>214</v>
      </c>
      <c r="F44">
        <v>32</v>
      </c>
      <c r="G44">
        <v>0</v>
      </c>
      <c r="H44">
        <v>0</v>
      </c>
      <c r="I44">
        <v>0</v>
      </c>
      <c r="J44">
        <v>0</v>
      </c>
      <c r="K44">
        <v>0</v>
      </c>
      <c r="L44">
        <v>0</v>
      </c>
      <c r="M44">
        <v>11.62</v>
      </c>
      <c r="N44">
        <v>0</v>
      </c>
      <c r="O44">
        <v>0</v>
      </c>
      <c r="P44">
        <v>2382.1</v>
      </c>
      <c r="Q44">
        <v>2382.1</v>
      </c>
      <c r="R44" s="1" t="s">
        <v>212</v>
      </c>
      <c r="S44" s="1" t="s">
        <v>26</v>
      </c>
      <c r="T44" s="1" t="s">
        <v>27</v>
      </c>
      <c r="U44" s="1" t="s">
        <v>192</v>
      </c>
      <c r="V44" s="1" t="s">
        <v>208</v>
      </c>
    </row>
    <row r="45" spans="1:22" x14ac:dyDescent="0.3">
      <c r="A45" s="1" t="s">
        <v>202</v>
      </c>
      <c r="B45" s="1" t="s">
        <v>203</v>
      </c>
      <c r="C45" s="1" t="s">
        <v>204</v>
      </c>
      <c r="D45" s="1" t="s">
        <v>215</v>
      </c>
      <c r="E45" s="1" t="s">
        <v>33</v>
      </c>
      <c r="F45">
        <v>32</v>
      </c>
      <c r="G45">
        <v>0</v>
      </c>
      <c r="H45">
        <v>0</v>
      </c>
      <c r="I45">
        <v>0</v>
      </c>
      <c r="J45">
        <v>0</v>
      </c>
      <c r="K45">
        <v>0</v>
      </c>
      <c r="L45">
        <v>0</v>
      </c>
      <c r="M45">
        <v>20.149999999999999</v>
      </c>
      <c r="N45">
        <v>0</v>
      </c>
      <c r="O45">
        <v>0</v>
      </c>
      <c r="P45">
        <v>4130.75</v>
      </c>
      <c r="Q45">
        <v>4130.75</v>
      </c>
      <c r="R45" s="1" t="s">
        <v>212</v>
      </c>
      <c r="S45" s="1" t="s">
        <v>26</v>
      </c>
      <c r="T45" s="1" t="s">
        <v>27</v>
      </c>
      <c r="U45" s="1" t="s">
        <v>192</v>
      </c>
      <c r="V45" s="1" t="s">
        <v>208</v>
      </c>
    </row>
    <row r="46" spans="1:22" x14ac:dyDescent="0.3">
      <c r="A46" s="1" t="s">
        <v>202</v>
      </c>
      <c r="B46" s="1" t="s">
        <v>203</v>
      </c>
      <c r="C46" s="1" t="s">
        <v>204</v>
      </c>
      <c r="D46" s="1" t="s">
        <v>216</v>
      </c>
      <c r="E46" s="1" t="s">
        <v>217</v>
      </c>
      <c r="F46">
        <v>32</v>
      </c>
      <c r="G46">
        <v>0</v>
      </c>
      <c r="H46">
        <v>0</v>
      </c>
      <c r="I46">
        <v>0</v>
      </c>
      <c r="J46">
        <v>0</v>
      </c>
      <c r="K46">
        <v>0</v>
      </c>
      <c r="L46">
        <v>0</v>
      </c>
      <c r="M46">
        <v>26.47</v>
      </c>
      <c r="N46">
        <v>0</v>
      </c>
      <c r="O46">
        <v>0</v>
      </c>
      <c r="P46">
        <v>5426.35</v>
      </c>
      <c r="Q46">
        <v>5426.35</v>
      </c>
      <c r="R46" s="1" t="s">
        <v>212</v>
      </c>
      <c r="S46" s="1" t="s">
        <v>26</v>
      </c>
      <c r="T46" s="1" t="s">
        <v>27</v>
      </c>
      <c r="U46" s="1" t="s">
        <v>192</v>
      </c>
      <c r="V46" s="1" t="s">
        <v>208</v>
      </c>
    </row>
    <row r="47" spans="1:22" x14ac:dyDescent="0.3">
      <c r="A47" s="1" t="s">
        <v>202</v>
      </c>
      <c r="B47" s="1" t="s">
        <v>203</v>
      </c>
      <c r="C47" s="1" t="s">
        <v>204</v>
      </c>
      <c r="D47" s="1" t="s">
        <v>218</v>
      </c>
      <c r="E47" s="1" t="s">
        <v>34</v>
      </c>
      <c r="F47">
        <v>56</v>
      </c>
      <c r="G47">
        <v>0</v>
      </c>
      <c r="H47">
        <v>0</v>
      </c>
      <c r="I47">
        <v>0</v>
      </c>
      <c r="J47">
        <v>0</v>
      </c>
      <c r="K47">
        <v>0</v>
      </c>
      <c r="L47">
        <v>0</v>
      </c>
      <c r="M47">
        <v>247.57</v>
      </c>
      <c r="N47">
        <v>0</v>
      </c>
      <c r="O47">
        <v>0</v>
      </c>
      <c r="P47">
        <v>50751.85</v>
      </c>
      <c r="Q47">
        <v>50751.85</v>
      </c>
      <c r="R47" s="1" t="s">
        <v>212</v>
      </c>
      <c r="S47" s="1" t="s">
        <v>26</v>
      </c>
      <c r="T47" s="1" t="s">
        <v>27</v>
      </c>
      <c r="U47" s="1" t="s">
        <v>192</v>
      </c>
      <c r="V47" s="1" t="s">
        <v>208</v>
      </c>
    </row>
    <row r="48" spans="1:22" x14ac:dyDescent="0.3">
      <c r="A48" s="1" t="s">
        <v>202</v>
      </c>
      <c r="B48" s="1" t="s">
        <v>203</v>
      </c>
      <c r="C48" s="1" t="s">
        <v>204</v>
      </c>
      <c r="D48" s="1" t="s">
        <v>219</v>
      </c>
      <c r="E48" s="1" t="s">
        <v>220</v>
      </c>
      <c r="F48">
        <v>56</v>
      </c>
      <c r="G48">
        <v>0</v>
      </c>
      <c r="H48">
        <v>0</v>
      </c>
      <c r="I48">
        <v>0</v>
      </c>
      <c r="J48">
        <v>0</v>
      </c>
      <c r="K48">
        <v>0</v>
      </c>
      <c r="L48">
        <v>0</v>
      </c>
      <c r="M48">
        <v>63.31</v>
      </c>
      <c r="N48">
        <v>0</v>
      </c>
      <c r="O48">
        <v>0</v>
      </c>
      <c r="P48">
        <v>12978.55</v>
      </c>
      <c r="Q48">
        <v>12978.55</v>
      </c>
      <c r="R48" s="1" t="s">
        <v>212</v>
      </c>
      <c r="S48" s="1" t="s">
        <v>26</v>
      </c>
      <c r="T48" s="1" t="s">
        <v>27</v>
      </c>
      <c r="U48" s="1" t="s">
        <v>192</v>
      </c>
      <c r="V48" s="1" t="s">
        <v>208</v>
      </c>
    </row>
    <row r="49" spans="1:22" x14ac:dyDescent="0.3">
      <c r="A49" s="1" t="s">
        <v>202</v>
      </c>
      <c r="B49" s="1" t="s">
        <v>203</v>
      </c>
      <c r="C49" s="1" t="s">
        <v>204</v>
      </c>
      <c r="D49" s="1" t="s">
        <v>221</v>
      </c>
      <c r="E49" s="1" t="s">
        <v>35</v>
      </c>
      <c r="F49">
        <v>8</v>
      </c>
      <c r="G49">
        <v>0</v>
      </c>
      <c r="H49">
        <v>0</v>
      </c>
      <c r="I49">
        <v>0</v>
      </c>
      <c r="J49">
        <v>0</v>
      </c>
      <c r="K49">
        <v>0</v>
      </c>
      <c r="L49">
        <v>0</v>
      </c>
      <c r="M49">
        <v>0</v>
      </c>
      <c r="N49">
        <v>0</v>
      </c>
      <c r="O49">
        <v>0</v>
      </c>
      <c r="P49">
        <v>0</v>
      </c>
      <c r="Q49">
        <v>0</v>
      </c>
      <c r="R49" s="1" t="s">
        <v>212</v>
      </c>
      <c r="S49" s="1" t="s">
        <v>26</v>
      </c>
      <c r="T49" s="1" t="s">
        <v>27</v>
      </c>
      <c r="U49" s="1" t="s">
        <v>192</v>
      </c>
      <c r="V49" s="1" t="s">
        <v>208</v>
      </c>
    </row>
    <row r="50" spans="1:22" x14ac:dyDescent="0.3">
      <c r="A50" s="1" t="s">
        <v>202</v>
      </c>
      <c r="B50" s="1" t="s">
        <v>203</v>
      </c>
      <c r="C50" s="1" t="s">
        <v>204</v>
      </c>
      <c r="D50" s="1" t="s">
        <v>222</v>
      </c>
      <c r="E50" s="1" t="s">
        <v>223</v>
      </c>
      <c r="F50">
        <v>120</v>
      </c>
      <c r="G50">
        <v>0</v>
      </c>
      <c r="H50">
        <v>0</v>
      </c>
      <c r="I50">
        <v>0</v>
      </c>
      <c r="J50">
        <v>0</v>
      </c>
      <c r="K50">
        <v>0</v>
      </c>
      <c r="L50">
        <v>14.12</v>
      </c>
      <c r="M50">
        <v>387.25</v>
      </c>
      <c r="N50">
        <v>0</v>
      </c>
      <c r="O50">
        <v>0</v>
      </c>
      <c r="P50">
        <v>79386.25</v>
      </c>
      <c r="Q50">
        <v>79386.25</v>
      </c>
      <c r="R50" s="1" t="s">
        <v>224</v>
      </c>
      <c r="S50" s="1" t="s">
        <v>26</v>
      </c>
      <c r="T50" s="1" t="s">
        <v>27</v>
      </c>
      <c r="U50" s="1" t="s">
        <v>192</v>
      </c>
      <c r="V50" s="1" t="s">
        <v>208</v>
      </c>
    </row>
    <row r="51" spans="1:22" x14ac:dyDescent="0.3">
      <c r="A51" s="1" t="s">
        <v>202</v>
      </c>
      <c r="B51" s="1" t="s">
        <v>203</v>
      </c>
      <c r="C51" s="1" t="s">
        <v>204</v>
      </c>
      <c r="D51" s="1" t="s">
        <v>225</v>
      </c>
      <c r="E51" s="1" t="s">
        <v>226</v>
      </c>
      <c r="F51">
        <v>120</v>
      </c>
      <c r="G51">
        <v>0</v>
      </c>
      <c r="H51">
        <v>0</v>
      </c>
      <c r="I51">
        <v>0</v>
      </c>
      <c r="J51">
        <v>0</v>
      </c>
      <c r="K51">
        <v>0</v>
      </c>
      <c r="L51">
        <v>9.3800000000000008</v>
      </c>
      <c r="M51">
        <v>252.13</v>
      </c>
      <c r="N51">
        <v>0</v>
      </c>
      <c r="O51">
        <v>0</v>
      </c>
      <c r="P51">
        <v>51686.65</v>
      </c>
      <c r="Q51">
        <v>51686.65</v>
      </c>
      <c r="R51" s="1" t="s">
        <v>224</v>
      </c>
      <c r="S51" s="1" t="s">
        <v>26</v>
      </c>
      <c r="T51" s="1" t="s">
        <v>27</v>
      </c>
      <c r="U51" s="1" t="s">
        <v>192</v>
      </c>
      <c r="V51" s="1" t="s">
        <v>208</v>
      </c>
    </row>
    <row r="52" spans="1:22" x14ac:dyDescent="0.3">
      <c r="A52" s="1" t="s">
        <v>202</v>
      </c>
      <c r="B52" s="1" t="s">
        <v>203</v>
      </c>
      <c r="C52" s="1" t="s">
        <v>204</v>
      </c>
      <c r="D52" s="1" t="s">
        <v>227</v>
      </c>
      <c r="E52" s="1" t="s">
        <v>228</v>
      </c>
      <c r="F52">
        <v>40</v>
      </c>
      <c r="G52">
        <v>0</v>
      </c>
      <c r="H52">
        <v>0</v>
      </c>
      <c r="I52">
        <v>0</v>
      </c>
      <c r="J52">
        <v>0</v>
      </c>
      <c r="K52">
        <v>0</v>
      </c>
      <c r="L52">
        <v>0</v>
      </c>
      <c r="M52">
        <v>10.7</v>
      </c>
      <c r="N52">
        <v>0</v>
      </c>
      <c r="O52">
        <v>0</v>
      </c>
      <c r="P52">
        <v>2193.5</v>
      </c>
      <c r="Q52">
        <v>2193.5</v>
      </c>
      <c r="R52" s="1" t="s">
        <v>224</v>
      </c>
      <c r="S52" s="1" t="s">
        <v>26</v>
      </c>
      <c r="T52" s="1" t="s">
        <v>27</v>
      </c>
      <c r="U52" s="1" t="s">
        <v>192</v>
      </c>
      <c r="V52" s="1" t="s">
        <v>208</v>
      </c>
    </row>
    <row r="53" spans="1:22" x14ac:dyDescent="0.3">
      <c r="A53" s="1" t="s">
        <v>202</v>
      </c>
      <c r="B53" s="1" t="s">
        <v>203</v>
      </c>
      <c r="C53" s="1" t="s">
        <v>204</v>
      </c>
      <c r="D53" s="1" t="s">
        <v>229</v>
      </c>
      <c r="E53" s="1" t="s">
        <v>36</v>
      </c>
      <c r="F53">
        <v>120</v>
      </c>
      <c r="G53">
        <v>0</v>
      </c>
      <c r="H53">
        <v>0</v>
      </c>
      <c r="I53">
        <v>0</v>
      </c>
      <c r="J53">
        <v>0</v>
      </c>
      <c r="K53">
        <v>0</v>
      </c>
      <c r="L53">
        <v>0</v>
      </c>
      <c r="M53">
        <v>36.83</v>
      </c>
      <c r="N53">
        <v>0</v>
      </c>
      <c r="O53">
        <v>0</v>
      </c>
      <c r="P53">
        <v>7550.15</v>
      </c>
      <c r="Q53">
        <v>7550.15</v>
      </c>
      <c r="R53" s="1" t="s">
        <v>212</v>
      </c>
      <c r="S53" s="1" t="s">
        <v>26</v>
      </c>
      <c r="T53" s="1" t="s">
        <v>27</v>
      </c>
      <c r="U53" s="1" t="s">
        <v>192</v>
      </c>
      <c r="V53" s="1" t="s">
        <v>208</v>
      </c>
    </row>
    <row r="54" spans="1:22" x14ac:dyDescent="0.3">
      <c r="A54" s="1" t="s">
        <v>202</v>
      </c>
      <c r="B54" s="1" t="s">
        <v>203</v>
      </c>
      <c r="C54" s="1" t="s">
        <v>204</v>
      </c>
      <c r="D54" s="1" t="s">
        <v>230</v>
      </c>
      <c r="E54" s="1" t="s">
        <v>37</v>
      </c>
      <c r="F54">
        <v>32</v>
      </c>
      <c r="G54">
        <v>0</v>
      </c>
      <c r="H54">
        <v>0</v>
      </c>
      <c r="I54">
        <v>0</v>
      </c>
      <c r="J54">
        <v>0</v>
      </c>
      <c r="K54">
        <v>0</v>
      </c>
      <c r="L54">
        <v>0</v>
      </c>
      <c r="M54">
        <v>62.11</v>
      </c>
      <c r="N54">
        <v>0</v>
      </c>
      <c r="O54">
        <v>0</v>
      </c>
      <c r="P54">
        <v>12732.55</v>
      </c>
      <c r="Q54">
        <v>12732.55</v>
      </c>
      <c r="R54" s="1" t="s">
        <v>212</v>
      </c>
      <c r="S54" s="1" t="s">
        <v>26</v>
      </c>
      <c r="T54" s="1" t="s">
        <v>27</v>
      </c>
      <c r="U54" s="1" t="s">
        <v>192</v>
      </c>
      <c r="V54" s="1" t="s">
        <v>208</v>
      </c>
    </row>
    <row r="55" spans="1:22" x14ac:dyDescent="0.3">
      <c r="A55" s="1" t="s">
        <v>202</v>
      </c>
      <c r="B55" s="1" t="s">
        <v>203</v>
      </c>
      <c r="C55" s="1" t="s">
        <v>204</v>
      </c>
      <c r="D55" s="1" t="s">
        <v>231</v>
      </c>
      <c r="E55" s="1" t="s">
        <v>232</v>
      </c>
      <c r="F55">
        <v>32</v>
      </c>
      <c r="G55">
        <v>0</v>
      </c>
      <c r="H55">
        <v>0</v>
      </c>
      <c r="I55">
        <v>0</v>
      </c>
      <c r="J55">
        <v>0</v>
      </c>
      <c r="K55">
        <v>0</v>
      </c>
      <c r="L55">
        <v>0</v>
      </c>
      <c r="M55">
        <v>0</v>
      </c>
      <c r="N55">
        <v>0</v>
      </c>
      <c r="O55">
        <v>0</v>
      </c>
      <c r="P55">
        <v>0</v>
      </c>
      <c r="Q55">
        <v>0</v>
      </c>
      <c r="R55" s="1" t="s">
        <v>212</v>
      </c>
      <c r="S55" s="1" t="s">
        <v>26</v>
      </c>
      <c r="T55" s="1" t="s">
        <v>27</v>
      </c>
      <c r="U55" s="1" t="s">
        <v>192</v>
      </c>
      <c r="V55" s="1" t="s">
        <v>208</v>
      </c>
    </row>
    <row r="56" spans="1:22" x14ac:dyDescent="0.3">
      <c r="A56" s="1" t="s">
        <v>202</v>
      </c>
      <c r="B56" s="1" t="s">
        <v>203</v>
      </c>
      <c r="C56" s="1" t="s">
        <v>204</v>
      </c>
      <c r="D56" s="1" t="s">
        <v>233</v>
      </c>
      <c r="E56" s="1" t="s">
        <v>38</v>
      </c>
      <c r="F56">
        <v>56</v>
      </c>
      <c r="G56">
        <v>0</v>
      </c>
      <c r="H56">
        <v>0</v>
      </c>
      <c r="I56">
        <v>0</v>
      </c>
      <c r="J56">
        <v>0</v>
      </c>
      <c r="K56">
        <v>0</v>
      </c>
      <c r="L56">
        <v>0</v>
      </c>
      <c r="M56">
        <v>9.4499999999999993</v>
      </c>
      <c r="N56">
        <v>0</v>
      </c>
      <c r="O56">
        <v>0</v>
      </c>
      <c r="P56">
        <v>1937.25</v>
      </c>
      <c r="Q56">
        <v>1937.25</v>
      </c>
      <c r="R56" s="1" t="s">
        <v>212</v>
      </c>
      <c r="S56" s="1" t="s">
        <v>26</v>
      </c>
      <c r="T56" s="1" t="s">
        <v>27</v>
      </c>
      <c r="U56" s="1" t="s">
        <v>192</v>
      </c>
      <c r="V56" s="1" t="s">
        <v>208</v>
      </c>
    </row>
    <row r="57" spans="1:22" x14ac:dyDescent="0.3">
      <c r="A57" s="1" t="s">
        <v>202</v>
      </c>
      <c r="B57" s="1" t="s">
        <v>203</v>
      </c>
      <c r="C57" s="1" t="s">
        <v>204</v>
      </c>
      <c r="D57" s="1" t="s">
        <v>234</v>
      </c>
      <c r="E57" s="1" t="s">
        <v>235</v>
      </c>
      <c r="F57">
        <v>8</v>
      </c>
      <c r="G57">
        <v>0</v>
      </c>
      <c r="H57">
        <v>0</v>
      </c>
      <c r="I57">
        <v>0</v>
      </c>
      <c r="J57">
        <v>0</v>
      </c>
      <c r="K57">
        <v>0</v>
      </c>
      <c r="L57">
        <v>0</v>
      </c>
      <c r="M57">
        <v>0</v>
      </c>
      <c r="N57">
        <v>0</v>
      </c>
      <c r="O57">
        <v>0</v>
      </c>
      <c r="P57">
        <v>0</v>
      </c>
      <c r="Q57">
        <v>0</v>
      </c>
      <c r="R57" s="1" t="s">
        <v>212</v>
      </c>
      <c r="S57" s="1" t="s">
        <v>26</v>
      </c>
      <c r="T57" s="1" t="s">
        <v>27</v>
      </c>
      <c r="U57" s="1" t="s">
        <v>192</v>
      </c>
      <c r="V57" s="1" t="s">
        <v>208</v>
      </c>
    </row>
    <row r="58" spans="1:22" x14ac:dyDescent="0.3">
      <c r="A58" s="1" t="s">
        <v>202</v>
      </c>
      <c r="B58" s="1" t="s">
        <v>203</v>
      </c>
      <c r="C58" s="1" t="s">
        <v>204</v>
      </c>
      <c r="D58" s="1" t="s">
        <v>236</v>
      </c>
      <c r="E58" s="1" t="s">
        <v>237</v>
      </c>
      <c r="F58">
        <v>24</v>
      </c>
      <c r="G58">
        <v>0</v>
      </c>
      <c r="H58">
        <v>0</v>
      </c>
      <c r="I58">
        <v>0</v>
      </c>
      <c r="J58">
        <v>0</v>
      </c>
      <c r="K58">
        <v>0</v>
      </c>
      <c r="L58">
        <v>0</v>
      </c>
      <c r="M58">
        <v>9.33</v>
      </c>
      <c r="N58">
        <v>0</v>
      </c>
      <c r="O58">
        <v>0</v>
      </c>
      <c r="P58">
        <v>1912.65</v>
      </c>
      <c r="Q58">
        <v>1912.65</v>
      </c>
      <c r="R58" s="1" t="s">
        <v>212</v>
      </c>
      <c r="S58" s="1" t="s">
        <v>26</v>
      </c>
      <c r="T58" s="1" t="s">
        <v>27</v>
      </c>
      <c r="U58" s="1" t="s">
        <v>192</v>
      </c>
      <c r="V58" s="1" t="s">
        <v>208</v>
      </c>
    </row>
    <row r="59" spans="1:22" x14ac:dyDescent="0.3">
      <c r="A59" s="1" t="s">
        <v>202</v>
      </c>
      <c r="B59" s="1" t="s">
        <v>203</v>
      </c>
      <c r="C59" s="1" t="s">
        <v>204</v>
      </c>
      <c r="D59" s="1" t="s">
        <v>238</v>
      </c>
      <c r="E59" s="1" t="s">
        <v>239</v>
      </c>
      <c r="F59">
        <v>40</v>
      </c>
      <c r="G59">
        <v>0</v>
      </c>
      <c r="H59">
        <v>0</v>
      </c>
      <c r="I59">
        <v>0</v>
      </c>
      <c r="J59">
        <v>0</v>
      </c>
      <c r="K59">
        <v>0</v>
      </c>
      <c r="L59">
        <v>0</v>
      </c>
      <c r="M59">
        <v>0</v>
      </c>
      <c r="N59">
        <v>0</v>
      </c>
      <c r="O59">
        <v>0</v>
      </c>
      <c r="P59">
        <v>0</v>
      </c>
      <c r="Q59">
        <v>0</v>
      </c>
      <c r="R59" s="1" t="s">
        <v>212</v>
      </c>
      <c r="S59" s="1" t="s">
        <v>26</v>
      </c>
      <c r="T59" s="1" t="s">
        <v>27</v>
      </c>
      <c r="U59" s="1" t="s">
        <v>192</v>
      </c>
      <c r="V59" s="1" t="s">
        <v>208</v>
      </c>
    </row>
    <row r="60" spans="1:22" x14ac:dyDescent="0.3">
      <c r="A60" s="1" t="s">
        <v>202</v>
      </c>
      <c r="B60" s="1" t="s">
        <v>203</v>
      </c>
      <c r="C60" s="1" t="s">
        <v>204</v>
      </c>
      <c r="D60" s="1" t="s">
        <v>240</v>
      </c>
      <c r="E60" s="1" t="s">
        <v>241</v>
      </c>
      <c r="F60">
        <v>8</v>
      </c>
      <c r="G60">
        <v>0</v>
      </c>
      <c r="H60">
        <v>0</v>
      </c>
      <c r="I60">
        <v>0</v>
      </c>
      <c r="J60">
        <v>0</v>
      </c>
      <c r="K60">
        <v>0</v>
      </c>
      <c r="L60">
        <v>0</v>
      </c>
      <c r="M60">
        <v>0</v>
      </c>
      <c r="N60">
        <v>0</v>
      </c>
      <c r="O60">
        <v>0</v>
      </c>
      <c r="P60">
        <v>0</v>
      </c>
      <c r="Q60">
        <v>0</v>
      </c>
      <c r="R60" s="1" t="s">
        <v>212</v>
      </c>
      <c r="S60" s="1" t="s">
        <v>26</v>
      </c>
      <c r="T60" s="1" t="s">
        <v>27</v>
      </c>
      <c r="U60" s="1" t="s">
        <v>192</v>
      </c>
      <c r="V60" s="1" t="s">
        <v>208</v>
      </c>
    </row>
    <row r="61" spans="1:22" x14ac:dyDescent="0.3">
      <c r="A61" s="1" t="s">
        <v>202</v>
      </c>
      <c r="B61" s="1" t="s">
        <v>203</v>
      </c>
      <c r="C61" s="1" t="s">
        <v>204</v>
      </c>
      <c r="D61" s="1" t="s">
        <v>15</v>
      </c>
      <c r="E61" s="1" t="s">
        <v>242</v>
      </c>
      <c r="F61">
        <v>400</v>
      </c>
      <c r="G61">
        <v>0</v>
      </c>
      <c r="H61">
        <v>0</v>
      </c>
      <c r="I61">
        <v>0</v>
      </c>
      <c r="J61">
        <v>0</v>
      </c>
      <c r="K61">
        <v>0</v>
      </c>
      <c r="L61">
        <v>0</v>
      </c>
      <c r="M61">
        <v>186.09</v>
      </c>
      <c r="N61">
        <v>0</v>
      </c>
      <c r="O61">
        <v>0</v>
      </c>
      <c r="P61">
        <v>27262.22</v>
      </c>
      <c r="Q61">
        <v>27262.22</v>
      </c>
      <c r="R61" s="1" t="s">
        <v>243</v>
      </c>
      <c r="S61" s="1" t="s">
        <v>26</v>
      </c>
      <c r="T61" s="1" t="s">
        <v>27</v>
      </c>
      <c r="U61" s="1" t="s">
        <v>192</v>
      </c>
      <c r="V61" s="1" t="s">
        <v>208</v>
      </c>
    </row>
    <row r="62" spans="1:22" x14ac:dyDescent="0.3">
      <c r="A62" s="1" t="s">
        <v>202</v>
      </c>
      <c r="B62" s="1" t="s">
        <v>203</v>
      </c>
      <c r="C62" s="1" t="s">
        <v>204</v>
      </c>
      <c r="D62" s="1" t="s">
        <v>244</v>
      </c>
      <c r="E62" s="1" t="s">
        <v>245</v>
      </c>
      <c r="F62">
        <v>0</v>
      </c>
      <c r="G62">
        <v>0</v>
      </c>
      <c r="H62">
        <v>0</v>
      </c>
      <c r="I62">
        <v>0</v>
      </c>
      <c r="J62">
        <v>0</v>
      </c>
      <c r="K62">
        <v>0</v>
      </c>
      <c r="L62">
        <v>0</v>
      </c>
      <c r="M62">
        <v>6.8</v>
      </c>
      <c r="N62">
        <v>0</v>
      </c>
      <c r="O62">
        <v>0</v>
      </c>
      <c r="P62">
        <v>1394</v>
      </c>
      <c r="Q62">
        <v>1394</v>
      </c>
      <c r="R62" s="1" t="s">
        <v>212</v>
      </c>
      <c r="S62" s="1" t="s">
        <v>26</v>
      </c>
      <c r="T62" s="1" t="s">
        <v>27</v>
      </c>
      <c r="U62" s="1" t="s">
        <v>192</v>
      </c>
      <c r="V62" s="1" t="s">
        <v>208</v>
      </c>
    </row>
    <row r="63" spans="1:22" x14ac:dyDescent="0.3">
      <c r="A63" s="1" t="s">
        <v>202</v>
      </c>
      <c r="B63" s="1" t="s">
        <v>203</v>
      </c>
      <c r="C63" s="1" t="s">
        <v>204</v>
      </c>
      <c r="D63" s="1" t="s">
        <v>16</v>
      </c>
      <c r="E63" s="1" t="s">
        <v>246</v>
      </c>
      <c r="F63">
        <v>0</v>
      </c>
      <c r="G63">
        <v>0</v>
      </c>
      <c r="H63">
        <v>0</v>
      </c>
      <c r="I63">
        <v>0</v>
      </c>
      <c r="J63">
        <v>0</v>
      </c>
      <c r="K63">
        <v>0</v>
      </c>
      <c r="L63">
        <v>0</v>
      </c>
      <c r="M63">
        <v>40.9</v>
      </c>
      <c r="N63">
        <v>0</v>
      </c>
      <c r="O63">
        <v>0</v>
      </c>
      <c r="P63">
        <v>5991.89</v>
      </c>
      <c r="Q63">
        <v>5991.89</v>
      </c>
      <c r="R63" s="1" t="s">
        <v>207</v>
      </c>
      <c r="S63" s="1" t="s">
        <v>26</v>
      </c>
      <c r="T63" s="1" t="s">
        <v>27</v>
      </c>
      <c r="U63" s="1" t="s">
        <v>192</v>
      </c>
      <c r="V63" s="1" t="s">
        <v>208</v>
      </c>
    </row>
    <row r="64" spans="1:22" x14ac:dyDescent="0.3">
      <c r="A64" s="1" t="s">
        <v>202</v>
      </c>
      <c r="B64" s="1" t="s">
        <v>247</v>
      </c>
      <c r="C64" s="1" t="s">
        <v>248</v>
      </c>
      <c r="D64" s="1" t="s">
        <v>249</v>
      </c>
      <c r="E64" s="1" t="s">
        <v>250</v>
      </c>
      <c r="F64">
        <v>0</v>
      </c>
      <c r="G64">
        <v>0</v>
      </c>
      <c r="H64">
        <v>0</v>
      </c>
      <c r="I64">
        <v>0</v>
      </c>
      <c r="J64">
        <v>0</v>
      </c>
      <c r="K64">
        <v>0</v>
      </c>
      <c r="L64">
        <v>0</v>
      </c>
      <c r="M64">
        <v>0.93</v>
      </c>
      <c r="N64">
        <v>0</v>
      </c>
      <c r="O64">
        <v>0</v>
      </c>
      <c r="P64">
        <v>192.51</v>
      </c>
      <c r="Q64">
        <v>192.51</v>
      </c>
      <c r="R64" s="1" t="s">
        <v>212</v>
      </c>
      <c r="S64" s="1" t="s">
        <v>63</v>
      </c>
      <c r="T64" s="1" t="s">
        <v>64</v>
      </c>
      <c r="U64" s="1" t="s">
        <v>192</v>
      </c>
      <c r="V64" s="1"/>
    </row>
    <row r="65" spans="1:22" x14ac:dyDescent="0.3">
      <c r="A65" s="1" t="s">
        <v>202</v>
      </c>
      <c r="B65" s="1" t="s">
        <v>251</v>
      </c>
      <c r="C65" s="1" t="s">
        <v>252</v>
      </c>
      <c r="D65" s="1" t="s">
        <v>249</v>
      </c>
      <c r="E65" s="1" t="s">
        <v>250</v>
      </c>
      <c r="F65">
        <v>0</v>
      </c>
      <c r="G65">
        <v>0</v>
      </c>
      <c r="H65">
        <v>0</v>
      </c>
      <c r="I65">
        <v>0</v>
      </c>
      <c r="J65">
        <v>0</v>
      </c>
      <c r="K65">
        <v>0</v>
      </c>
      <c r="L65">
        <v>0</v>
      </c>
      <c r="M65">
        <v>1.08</v>
      </c>
      <c r="N65">
        <v>0</v>
      </c>
      <c r="O65">
        <v>0</v>
      </c>
      <c r="P65">
        <v>223.56</v>
      </c>
      <c r="Q65">
        <v>223.56</v>
      </c>
      <c r="R65" s="1" t="s">
        <v>212</v>
      </c>
      <c r="S65" s="1" t="s">
        <v>63</v>
      </c>
      <c r="T65" s="1" t="s">
        <v>64</v>
      </c>
      <c r="U65" s="1" t="s">
        <v>192</v>
      </c>
      <c r="V65" s="1"/>
    </row>
    <row r="66" spans="1:22" x14ac:dyDescent="0.3">
      <c r="A66" s="1" t="s">
        <v>202</v>
      </c>
      <c r="B66" s="1" t="s">
        <v>253</v>
      </c>
      <c r="C66" s="1" t="s">
        <v>254</v>
      </c>
      <c r="D66" s="1" t="s">
        <v>249</v>
      </c>
      <c r="E66" s="1" t="s">
        <v>199</v>
      </c>
      <c r="F66">
        <v>0</v>
      </c>
      <c r="G66">
        <v>0</v>
      </c>
      <c r="H66">
        <v>0</v>
      </c>
      <c r="I66">
        <v>0</v>
      </c>
      <c r="J66">
        <v>0</v>
      </c>
      <c r="K66">
        <v>0</v>
      </c>
      <c r="L66">
        <v>0</v>
      </c>
      <c r="M66">
        <v>15.95</v>
      </c>
      <c r="N66">
        <v>0</v>
      </c>
      <c r="O66">
        <v>0</v>
      </c>
      <c r="P66">
        <v>3301.65</v>
      </c>
      <c r="Q66">
        <v>3301.65</v>
      </c>
      <c r="R66" s="1" t="s">
        <v>212</v>
      </c>
      <c r="S66" s="1" t="s">
        <v>63</v>
      </c>
      <c r="T66" s="1" t="s">
        <v>64</v>
      </c>
      <c r="U66" s="1" t="s">
        <v>192</v>
      </c>
      <c r="V66" s="1"/>
    </row>
    <row r="67" spans="1:22" x14ac:dyDescent="0.3">
      <c r="A67" s="1" t="s">
        <v>202</v>
      </c>
      <c r="B67" s="1" t="s">
        <v>253</v>
      </c>
      <c r="C67" s="1" t="s">
        <v>254</v>
      </c>
      <c r="D67" s="1" t="s">
        <v>16</v>
      </c>
      <c r="E67" s="1" t="s">
        <v>255</v>
      </c>
      <c r="F67">
        <v>0</v>
      </c>
      <c r="G67">
        <v>0</v>
      </c>
      <c r="H67">
        <v>0</v>
      </c>
      <c r="I67">
        <v>0</v>
      </c>
      <c r="J67">
        <v>0</v>
      </c>
      <c r="K67">
        <v>0</v>
      </c>
      <c r="L67">
        <v>0</v>
      </c>
      <c r="M67">
        <v>0.81</v>
      </c>
      <c r="N67">
        <v>0</v>
      </c>
      <c r="O67">
        <v>0</v>
      </c>
      <c r="P67">
        <v>125.55</v>
      </c>
      <c r="Q67">
        <v>125.55</v>
      </c>
      <c r="R67" s="1" t="s">
        <v>207</v>
      </c>
      <c r="S67" s="1" t="s">
        <v>63</v>
      </c>
      <c r="T67" s="1" t="s">
        <v>64</v>
      </c>
      <c r="U67" s="1" t="s">
        <v>192</v>
      </c>
      <c r="V67" s="1"/>
    </row>
    <row r="68" spans="1:22" x14ac:dyDescent="0.3">
      <c r="A68" s="1" t="s">
        <v>202</v>
      </c>
      <c r="B68" s="1" t="s">
        <v>256</v>
      </c>
      <c r="C68" s="1" t="s">
        <v>257</v>
      </c>
      <c r="D68" s="1" t="s">
        <v>249</v>
      </c>
      <c r="E68" s="1" t="s">
        <v>199</v>
      </c>
      <c r="F68">
        <v>0</v>
      </c>
      <c r="G68">
        <v>0</v>
      </c>
      <c r="H68">
        <v>0</v>
      </c>
      <c r="I68">
        <v>0</v>
      </c>
      <c r="J68">
        <v>0</v>
      </c>
      <c r="K68">
        <v>0</v>
      </c>
      <c r="L68">
        <v>0</v>
      </c>
      <c r="M68">
        <v>1.3</v>
      </c>
      <c r="N68">
        <v>0</v>
      </c>
      <c r="O68">
        <v>0</v>
      </c>
      <c r="P68">
        <v>266.5</v>
      </c>
      <c r="Q68">
        <v>266.5</v>
      </c>
      <c r="R68" s="1" t="s">
        <v>212</v>
      </c>
      <c r="S68" s="1" t="s">
        <v>63</v>
      </c>
      <c r="T68" s="1" t="s">
        <v>64</v>
      </c>
      <c r="U68" s="1" t="s">
        <v>192</v>
      </c>
      <c r="V68" s="1"/>
    </row>
    <row r="69" spans="1:22" x14ac:dyDescent="0.3">
      <c r="A69" s="1" t="s">
        <v>202</v>
      </c>
      <c r="B69" s="1" t="s">
        <v>258</v>
      </c>
      <c r="C69" s="1" t="s">
        <v>259</v>
      </c>
      <c r="D69" s="1" t="s">
        <v>28</v>
      </c>
      <c r="E69" s="1" t="s">
        <v>29</v>
      </c>
      <c r="F69">
        <v>0</v>
      </c>
      <c r="G69">
        <v>0</v>
      </c>
      <c r="H69">
        <v>0</v>
      </c>
      <c r="I69">
        <v>0</v>
      </c>
      <c r="J69">
        <v>0</v>
      </c>
      <c r="K69">
        <v>0</v>
      </c>
      <c r="L69">
        <v>0</v>
      </c>
      <c r="M69">
        <v>124.87</v>
      </c>
      <c r="N69">
        <v>0</v>
      </c>
      <c r="O69">
        <v>0</v>
      </c>
      <c r="P69">
        <v>18293.46</v>
      </c>
      <c r="Q69">
        <v>18293.46</v>
      </c>
      <c r="R69" s="1" t="s">
        <v>260</v>
      </c>
      <c r="S69" s="1" t="s">
        <v>63</v>
      </c>
      <c r="T69" s="1" t="s">
        <v>64</v>
      </c>
      <c r="U69" s="1" t="s">
        <v>192</v>
      </c>
      <c r="V69" s="1"/>
    </row>
    <row r="70" spans="1:22" x14ac:dyDescent="0.3">
      <c r="A70" s="1" t="s">
        <v>202</v>
      </c>
      <c r="B70" s="1" t="s">
        <v>261</v>
      </c>
      <c r="C70" s="1" t="s">
        <v>262</v>
      </c>
      <c r="D70" s="1" t="s">
        <v>263</v>
      </c>
      <c r="E70" s="1" t="s">
        <v>195</v>
      </c>
      <c r="F70">
        <v>0</v>
      </c>
      <c r="G70">
        <v>0</v>
      </c>
      <c r="H70">
        <v>0</v>
      </c>
      <c r="I70">
        <v>0</v>
      </c>
      <c r="J70">
        <v>0</v>
      </c>
      <c r="K70">
        <v>0</v>
      </c>
      <c r="L70">
        <v>0</v>
      </c>
      <c r="M70">
        <v>2.13</v>
      </c>
      <c r="N70">
        <v>0</v>
      </c>
      <c r="O70">
        <v>44.73</v>
      </c>
      <c r="P70">
        <v>225.78</v>
      </c>
      <c r="Q70">
        <v>270.51</v>
      </c>
      <c r="R70" s="1" t="s">
        <v>264</v>
      </c>
      <c r="S70" s="1" t="s">
        <v>63</v>
      </c>
      <c r="T70" s="1" t="s">
        <v>64</v>
      </c>
      <c r="U70" s="1" t="s">
        <v>192</v>
      </c>
      <c r="V70" s="1"/>
    </row>
    <row r="71" spans="1:22" x14ac:dyDescent="0.3">
      <c r="A71" s="1" t="s">
        <v>202</v>
      </c>
      <c r="B71" s="1" t="s">
        <v>265</v>
      </c>
      <c r="C71" s="1" t="s">
        <v>266</v>
      </c>
      <c r="D71" s="1" t="s">
        <v>249</v>
      </c>
      <c r="E71" s="1" t="s">
        <v>199</v>
      </c>
      <c r="F71">
        <v>0</v>
      </c>
      <c r="G71">
        <v>0</v>
      </c>
      <c r="H71">
        <v>0</v>
      </c>
      <c r="I71">
        <v>0</v>
      </c>
      <c r="J71">
        <v>0</v>
      </c>
      <c r="K71">
        <v>0</v>
      </c>
      <c r="L71">
        <v>0</v>
      </c>
      <c r="M71">
        <v>16.18</v>
      </c>
      <c r="N71">
        <v>0</v>
      </c>
      <c r="O71">
        <v>0</v>
      </c>
      <c r="P71">
        <v>3316.9</v>
      </c>
      <c r="Q71">
        <v>3316.9</v>
      </c>
      <c r="R71" s="1" t="s">
        <v>212</v>
      </c>
      <c r="S71" s="1" t="s">
        <v>63</v>
      </c>
      <c r="T71" s="1" t="s">
        <v>64</v>
      </c>
      <c r="U71" s="1" t="s">
        <v>192</v>
      </c>
      <c r="V71" s="1"/>
    </row>
    <row r="72" spans="1:22" x14ac:dyDescent="0.3">
      <c r="A72" s="1" t="s">
        <v>202</v>
      </c>
      <c r="B72" s="1" t="s">
        <v>265</v>
      </c>
      <c r="C72" s="1" t="s">
        <v>266</v>
      </c>
      <c r="D72" s="1" t="s">
        <v>16</v>
      </c>
      <c r="E72" s="1" t="s">
        <v>255</v>
      </c>
      <c r="F72">
        <v>0</v>
      </c>
      <c r="G72">
        <v>0</v>
      </c>
      <c r="H72">
        <v>0</v>
      </c>
      <c r="I72">
        <v>0</v>
      </c>
      <c r="J72">
        <v>0</v>
      </c>
      <c r="K72">
        <v>0</v>
      </c>
      <c r="L72">
        <v>0</v>
      </c>
      <c r="M72">
        <v>9.77</v>
      </c>
      <c r="N72">
        <v>0</v>
      </c>
      <c r="O72">
        <v>0</v>
      </c>
      <c r="P72">
        <v>1431.3</v>
      </c>
      <c r="Q72">
        <v>1431.3</v>
      </c>
      <c r="R72" s="1" t="s">
        <v>207</v>
      </c>
      <c r="S72" s="1" t="s">
        <v>63</v>
      </c>
      <c r="T72" s="1" t="s">
        <v>64</v>
      </c>
      <c r="U72" s="1" t="s">
        <v>192</v>
      </c>
      <c r="V72" s="1"/>
    </row>
    <row r="73" spans="1:22" x14ac:dyDescent="0.3">
      <c r="A73" s="1" t="s">
        <v>202</v>
      </c>
      <c r="B73" s="1" t="s">
        <v>265</v>
      </c>
      <c r="C73" s="1" t="s">
        <v>266</v>
      </c>
      <c r="D73" s="1" t="s">
        <v>263</v>
      </c>
      <c r="E73" s="1" t="s">
        <v>267</v>
      </c>
      <c r="F73">
        <v>0</v>
      </c>
      <c r="G73">
        <v>0</v>
      </c>
      <c r="H73">
        <v>0</v>
      </c>
      <c r="I73">
        <v>0</v>
      </c>
      <c r="J73">
        <v>0</v>
      </c>
      <c r="K73">
        <v>0</v>
      </c>
      <c r="L73">
        <v>0</v>
      </c>
      <c r="M73">
        <v>1.21</v>
      </c>
      <c r="N73">
        <v>0</v>
      </c>
      <c r="O73">
        <v>25.41</v>
      </c>
      <c r="P73">
        <v>128.26</v>
      </c>
      <c r="Q73">
        <v>153.66999999999999</v>
      </c>
      <c r="R73" s="1" t="s">
        <v>264</v>
      </c>
      <c r="S73" s="1" t="s">
        <v>63</v>
      </c>
      <c r="T73" s="1" t="s">
        <v>64</v>
      </c>
      <c r="U73" s="1" t="s">
        <v>192</v>
      </c>
      <c r="V73" s="1"/>
    </row>
    <row r="74" spans="1:22" x14ac:dyDescent="0.3">
      <c r="A74" s="1" t="s">
        <v>202</v>
      </c>
      <c r="B74" s="1" t="s">
        <v>268</v>
      </c>
      <c r="C74" s="1" t="s">
        <v>269</v>
      </c>
      <c r="D74" s="1" t="s">
        <v>249</v>
      </c>
      <c r="E74" s="1" t="s">
        <v>199</v>
      </c>
      <c r="F74">
        <v>0</v>
      </c>
      <c r="G74">
        <v>0</v>
      </c>
      <c r="H74">
        <v>0</v>
      </c>
      <c r="I74">
        <v>0</v>
      </c>
      <c r="J74">
        <v>0</v>
      </c>
      <c r="K74">
        <v>0</v>
      </c>
      <c r="L74">
        <v>0</v>
      </c>
      <c r="M74">
        <v>13.23</v>
      </c>
      <c r="N74">
        <v>0</v>
      </c>
      <c r="O74">
        <v>0</v>
      </c>
      <c r="P74">
        <v>2712.15</v>
      </c>
      <c r="Q74">
        <v>2712.15</v>
      </c>
      <c r="R74" s="1" t="s">
        <v>212</v>
      </c>
      <c r="S74" s="1" t="s">
        <v>63</v>
      </c>
      <c r="T74" s="1" t="s">
        <v>64</v>
      </c>
      <c r="U74" s="1" t="s">
        <v>192</v>
      </c>
      <c r="V74" s="1"/>
    </row>
    <row r="75" spans="1:22" x14ac:dyDescent="0.3">
      <c r="A75" s="1" t="s">
        <v>202</v>
      </c>
      <c r="B75" s="1" t="s">
        <v>270</v>
      </c>
      <c r="C75" s="1" t="s">
        <v>271</v>
      </c>
      <c r="D75" s="1" t="s">
        <v>249</v>
      </c>
      <c r="E75" s="1" t="s">
        <v>199</v>
      </c>
      <c r="F75">
        <v>0</v>
      </c>
      <c r="G75">
        <v>0</v>
      </c>
      <c r="H75">
        <v>0</v>
      </c>
      <c r="I75">
        <v>0</v>
      </c>
      <c r="J75">
        <v>0</v>
      </c>
      <c r="K75">
        <v>0</v>
      </c>
      <c r="L75">
        <v>0</v>
      </c>
      <c r="M75">
        <v>4.6399999999999997</v>
      </c>
      <c r="N75">
        <v>0</v>
      </c>
      <c r="O75">
        <v>0</v>
      </c>
      <c r="P75">
        <v>951.2</v>
      </c>
      <c r="Q75">
        <v>951.2</v>
      </c>
      <c r="R75" s="1" t="s">
        <v>212</v>
      </c>
      <c r="S75" s="1" t="s">
        <v>63</v>
      </c>
      <c r="T75" s="1" t="s">
        <v>64</v>
      </c>
      <c r="U75" s="1" t="s">
        <v>192</v>
      </c>
      <c r="V75" s="1"/>
    </row>
    <row r="76" spans="1:22" x14ac:dyDescent="0.3">
      <c r="A76" s="1" t="s">
        <v>688</v>
      </c>
      <c r="B76" s="1" t="s">
        <v>689</v>
      </c>
      <c r="C76" s="1" t="s">
        <v>690</v>
      </c>
      <c r="D76" s="1" t="s">
        <v>205</v>
      </c>
      <c r="E76" s="1" t="s">
        <v>206</v>
      </c>
      <c r="F76">
        <v>0</v>
      </c>
      <c r="G76">
        <v>0</v>
      </c>
      <c r="H76">
        <v>0</v>
      </c>
      <c r="I76">
        <v>0</v>
      </c>
      <c r="J76">
        <v>0</v>
      </c>
      <c r="K76">
        <v>0</v>
      </c>
      <c r="L76">
        <v>0</v>
      </c>
      <c r="M76">
        <v>1279.1199999999999</v>
      </c>
      <c r="N76">
        <v>0</v>
      </c>
      <c r="O76">
        <v>0</v>
      </c>
      <c r="P76">
        <v>187391.37</v>
      </c>
      <c r="Q76">
        <v>187391.37</v>
      </c>
      <c r="R76" s="1" t="s">
        <v>207</v>
      </c>
      <c r="S76" s="1" t="s">
        <v>26</v>
      </c>
      <c r="T76" s="1" t="s">
        <v>27</v>
      </c>
      <c r="U76" s="1" t="s">
        <v>208</v>
      </c>
      <c r="V76" s="1" t="s">
        <v>208</v>
      </c>
    </row>
    <row r="77" spans="1:22" x14ac:dyDescent="0.3">
      <c r="A77" s="1" t="s">
        <v>688</v>
      </c>
      <c r="B77" s="1" t="s">
        <v>689</v>
      </c>
      <c r="C77" s="1" t="s">
        <v>690</v>
      </c>
      <c r="D77" s="1" t="s">
        <v>196</v>
      </c>
      <c r="E77" s="1" t="s">
        <v>197</v>
      </c>
      <c r="F77">
        <v>0</v>
      </c>
      <c r="G77">
        <v>0</v>
      </c>
      <c r="H77">
        <v>0</v>
      </c>
      <c r="I77">
        <v>0</v>
      </c>
      <c r="J77">
        <v>0</v>
      </c>
      <c r="K77">
        <v>0</v>
      </c>
      <c r="L77">
        <v>0</v>
      </c>
      <c r="M77">
        <v>292</v>
      </c>
      <c r="N77">
        <v>0</v>
      </c>
      <c r="O77">
        <v>7849.26</v>
      </c>
      <c r="P77">
        <v>16654.73</v>
      </c>
      <c r="Q77">
        <v>24503.989999999998</v>
      </c>
      <c r="R77" s="1" t="s">
        <v>198</v>
      </c>
      <c r="S77" s="1" t="s">
        <v>26</v>
      </c>
      <c r="T77" s="1" t="s">
        <v>27</v>
      </c>
      <c r="U77" s="1" t="s">
        <v>208</v>
      </c>
      <c r="V77" s="1" t="s">
        <v>208</v>
      </c>
    </row>
    <row r="78" spans="1:22" x14ac:dyDescent="0.3">
      <c r="A78" s="1" t="s">
        <v>688</v>
      </c>
      <c r="B78" s="1" t="s">
        <v>689</v>
      </c>
      <c r="C78" s="1" t="s">
        <v>690</v>
      </c>
      <c r="D78" s="1" t="s">
        <v>28</v>
      </c>
      <c r="E78" s="1" t="s">
        <v>209</v>
      </c>
      <c r="F78">
        <v>0</v>
      </c>
      <c r="G78">
        <v>0</v>
      </c>
      <c r="H78">
        <v>0</v>
      </c>
      <c r="I78">
        <v>0</v>
      </c>
      <c r="J78">
        <v>0</v>
      </c>
      <c r="K78">
        <v>0</v>
      </c>
      <c r="L78">
        <v>0</v>
      </c>
      <c r="M78">
        <v>406.24</v>
      </c>
      <c r="N78">
        <v>0</v>
      </c>
      <c r="O78">
        <v>0</v>
      </c>
      <c r="P78">
        <v>59514.27</v>
      </c>
      <c r="Q78">
        <v>59514.27</v>
      </c>
      <c r="R78" s="1" t="s">
        <v>210</v>
      </c>
      <c r="S78" s="1" t="s">
        <v>26</v>
      </c>
      <c r="T78" s="1" t="s">
        <v>27</v>
      </c>
      <c r="U78" s="1" t="s">
        <v>208</v>
      </c>
      <c r="V78" s="1" t="s">
        <v>208</v>
      </c>
    </row>
    <row r="79" spans="1:22" x14ac:dyDescent="0.3">
      <c r="A79" s="1" t="s">
        <v>688</v>
      </c>
      <c r="B79" s="1" t="s">
        <v>689</v>
      </c>
      <c r="C79" s="1" t="s">
        <v>690</v>
      </c>
      <c r="D79" s="1" t="s">
        <v>30</v>
      </c>
      <c r="E79" s="1" t="s">
        <v>211</v>
      </c>
      <c r="F79">
        <v>4</v>
      </c>
      <c r="G79">
        <v>0</v>
      </c>
      <c r="H79">
        <v>0</v>
      </c>
      <c r="I79">
        <v>0</v>
      </c>
      <c r="J79">
        <v>0</v>
      </c>
      <c r="K79">
        <v>0</v>
      </c>
      <c r="L79">
        <v>0</v>
      </c>
      <c r="M79">
        <v>0</v>
      </c>
      <c r="N79">
        <v>0</v>
      </c>
      <c r="O79">
        <v>0</v>
      </c>
      <c r="P79">
        <v>0</v>
      </c>
      <c r="Q79">
        <v>0</v>
      </c>
      <c r="R79" s="1" t="s">
        <v>212</v>
      </c>
      <c r="S79" s="1" t="s">
        <v>26</v>
      </c>
      <c r="T79" s="1" t="s">
        <v>27</v>
      </c>
      <c r="U79" s="1" t="s">
        <v>208</v>
      </c>
      <c r="V79" s="1" t="s">
        <v>208</v>
      </c>
    </row>
    <row r="80" spans="1:22" x14ac:dyDescent="0.3">
      <c r="A80" s="1" t="s">
        <v>688</v>
      </c>
      <c r="B80" s="1" t="s">
        <v>689</v>
      </c>
      <c r="C80" s="1" t="s">
        <v>690</v>
      </c>
      <c r="D80" s="1" t="s">
        <v>193</v>
      </c>
      <c r="E80" s="1" t="s">
        <v>31</v>
      </c>
      <c r="F80">
        <v>32</v>
      </c>
      <c r="G80">
        <v>0</v>
      </c>
      <c r="H80">
        <v>0</v>
      </c>
      <c r="I80">
        <v>0</v>
      </c>
      <c r="J80">
        <v>0</v>
      </c>
      <c r="K80">
        <v>0</v>
      </c>
      <c r="L80">
        <v>0</v>
      </c>
      <c r="M80">
        <v>15.68</v>
      </c>
      <c r="N80">
        <v>0</v>
      </c>
      <c r="O80">
        <v>0</v>
      </c>
      <c r="P80">
        <v>3214.4</v>
      </c>
      <c r="Q80">
        <v>3214.4</v>
      </c>
      <c r="R80" s="1" t="s">
        <v>212</v>
      </c>
      <c r="S80" s="1" t="s">
        <v>26</v>
      </c>
      <c r="T80" s="1" t="s">
        <v>27</v>
      </c>
      <c r="U80" s="1" t="s">
        <v>208</v>
      </c>
      <c r="V80" s="1" t="s">
        <v>208</v>
      </c>
    </row>
    <row r="81" spans="1:22" x14ac:dyDescent="0.3">
      <c r="A81" s="1" t="s">
        <v>688</v>
      </c>
      <c r="B81" s="1" t="s">
        <v>689</v>
      </c>
      <c r="C81" s="1" t="s">
        <v>690</v>
      </c>
      <c r="D81" s="1" t="s">
        <v>213</v>
      </c>
      <c r="E81" s="1" t="s">
        <v>32</v>
      </c>
      <c r="F81">
        <v>32</v>
      </c>
      <c r="G81">
        <v>0</v>
      </c>
      <c r="H81">
        <v>0</v>
      </c>
      <c r="I81">
        <v>0</v>
      </c>
      <c r="J81">
        <v>0</v>
      </c>
      <c r="K81">
        <v>0</v>
      </c>
      <c r="L81">
        <v>0</v>
      </c>
      <c r="M81">
        <v>0</v>
      </c>
      <c r="N81">
        <v>0</v>
      </c>
      <c r="O81">
        <v>0</v>
      </c>
      <c r="P81">
        <v>0</v>
      </c>
      <c r="Q81">
        <v>0</v>
      </c>
      <c r="R81" s="1" t="s">
        <v>212</v>
      </c>
      <c r="S81" s="1" t="s">
        <v>26</v>
      </c>
      <c r="T81" s="1" t="s">
        <v>27</v>
      </c>
      <c r="U81" s="1" t="s">
        <v>208</v>
      </c>
      <c r="V81" s="1" t="s">
        <v>208</v>
      </c>
    </row>
    <row r="82" spans="1:22" x14ac:dyDescent="0.3">
      <c r="A82" s="1" t="s">
        <v>688</v>
      </c>
      <c r="B82" s="1" t="s">
        <v>689</v>
      </c>
      <c r="C82" s="1" t="s">
        <v>690</v>
      </c>
      <c r="D82" s="1" t="s">
        <v>194</v>
      </c>
      <c r="E82" s="1" t="s">
        <v>214</v>
      </c>
      <c r="F82">
        <v>32</v>
      </c>
      <c r="G82">
        <v>0</v>
      </c>
      <c r="H82">
        <v>0</v>
      </c>
      <c r="I82">
        <v>0</v>
      </c>
      <c r="J82">
        <v>0</v>
      </c>
      <c r="K82">
        <v>0</v>
      </c>
      <c r="L82">
        <v>0</v>
      </c>
      <c r="M82">
        <v>26.9</v>
      </c>
      <c r="N82">
        <v>0</v>
      </c>
      <c r="O82">
        <v>0</v>
      </c>
      <c r="P82">
        <v>5514.5</v>
      </c>
      <c r="Q82">
        <v>5514.5</v>
      </c>
      <c r="R82" s="1" t="s">
        <v>212</v>
      </c>
      <c r="S82" s="1" t="s">
        <v>26</v>
      </c>
      <c r="T82" s="1" t="s">
        <v>27</v>
      </c>
      <c r="U82" s="1" t="s">
        <v>208</v>
      </c>
      <c r="V82" s="1" t="s">
        <v>208</v>
      </c>
    </row>
    <row r="83" spans="1:22" x14ac:dyDescent="0.3">
      <c r="A83" s="1" t="s">
        <v>688</v>
      </c>
      <c r="B83" s="1" t="s">
        <v>689</v>
      </c>
      <c r="C83" s="1" t="s">
        <v>690</v>
      </c>
      <c r="D83" s="1" t="s">
        <v>215</v>
      </c>
      <c r="E83" s="1" t="s">
        <v>33</v>
      </c>
      <c r="F83">
        <v>32</v>
      </c>
      <c r="G83">
        <v>0</v>
      </c>
      <c r="H83">
        <v>0</v>
      </c>
      <c r="I83">
        <v>0</v>
      </c>
      <c r="J83">
        <v>0</v>
      </c>
      <c r="K83">
        <v>0</v>
      </c>
      <c r="L83">
        <v>0</v>
      </c>
      <c r="M83">
        <v>3.68</v>
      </c>
      <c r="N83">
        <v>0</v>
      </c>
      <c r="O83">
        <v>0</v>
      </c>
      <c r="P83">
        <v>754.4</v>
      </c>
      <c r="Q83">
        <v>754.4</v>
      </c>
      <c r="R83" s="1" t="s">
        <v>212</v>
      </c>
      <c r="S83" s="1" t="s">
        <v>26</v>
      </c>
      <c r="T83" s="1" t="s">
        <v>27</v>
      </c>
      <c r="U83" s="1" t="s">
        <v>208</v>
      </c>
      <c r="V83" s="1" t="s">
        <v>208</v>
      </c>
    </row>
    <row r="84" spans="1:22" x14ac:dyDescent="0.3">
      <c r="A84" s="1" t="s">
        <v>688</v>
      </c>
      <c r="B84" s="1" t="s">
        <v>689</v>
      </c>
      <c r="C84" s="1" t="s">
        <v>690</v>
      </c>
      <c r="D84" s="1" t="s">
        <v>216</v>
      </c>
      <c r="E84" s="1" t="s">
        <v>217</v>
      </c>
      <c r="F84">
        <v>32</v>
      </c>
      <c r="G84">
        <v>0</v>
      </c>
      <c r="H84">
        <v>0</v>
      </c>
      <c r="I84">
        <v>0</v>
      </c>
      <c r="J84">
        <v>0</v>
      </c>
      <c r="K84">
        <v>0</v>
      </c>
      <c r="L84">
        <v>0</v>
      </c>
      <c r="M84">
        <v>10</v>
      </c>
      <c r="N84">
        <v>0</v>
      </c>
      <c r="O84">
        <v>0</v>
      </c>
      <c r="P84">
        <v>2050</v>
      </c>
      <c r="Q84">
        <v>2050</v>
      </c>
      <c r="R84" s="1" t="s">
        <v>212</v>
      </c>
      <c r="S84" s="1" t="s">
        <v>26</v>
      </c>
      <c r="T84" s="1" t="s">
        <v>27</v>
      </c>
      <c r="U84" s="1" t="s">
        <v>208</v>
      </c>
      <c r="V84" s="1" t="s">
        <v>208</v>
      </c>
    </row>
    <row r="85" spans="1:22" x14ac:dyDescent="0.3">
      <c r="A85" s="1" t="s">
        <v>688</v>
      </c>
      <c r="B85" s="1" t="s">
        <v>689</v>
      </c>
      <c r="C85" s="1" t="s">
        <v>690</v>
      </c>
      <c r="D85" s="1" t="s">
        <v>218</v>
      </c>
      <c r="E85" s="1" t="s">
        <v>34</v>
      </c>
      <c r="F85">
        <v>56</v>
      </c>
      <c r="G85">
        <v>0</v>
      </c>
      <c r="H85">
        <v>0</v>
      </c>
      <c r="I85">
        <v>0</v>
      </c>
      <c r="J85">
        <v>0</v>
      </c>
      <c r="K85">
        <v>0</v>
      </c>
      <c r="L85">
        <v>0</v>
      </c>
      <c r="M85">
        <v>286.2</v>
      </c>
      <c r="N85">
        <v>0</v>
      </c>
      <c r="O85">
        <v>0</v>
      </c>
      <c r="P85">
        <v>58671</v>
      </c>
      <c r="Q85">
        <v>58671</v>
      </c>
      <c r="R85" s="1" t="s">
        <v>212</v>
      </c>
      <c r="S85" s="1" t="s">
        <v>26</v>
      </c>
      <c r="T85" s="1" t="s">
        <v>27</v>
      </c>
      <c r="U85" s="1" t="s">
        <v>208</v>
      </c>
      <c r="V85" s="1" t="s">
        <v>208</v>
      </c>
    </row>
    <row r="86" spans="1:22" x14ac:dyDescent="0.3">
      <c r="A86" s="1" t="s">
        <v>688</v>
      </c>
      <c r="B86" s="1" t="s">
        <v>689</v>
      </c>
      <c r="C86" s="1" t="s">
        <v>690</v>
      </c>
      <c r="D86" s="1" t="s">
        <v>219</v>
      </c>
      <c r="E86" s="1" t="s">
        <v>220</v>
      </c>
      <c r="F86">
        <v>56</v>
      </c>
      <c r="G86">
        <v>0</v>
      </c>
      <c r="H86">
        <v>0</v>
      </c>
      <c r="I86">
        <v>0</v>
      </c>
      <c r="J86">
        <v>0</v>
      </c>
      <c r="K86">
        <v>0</v>
      </c>
      <c r="L86">
        <v>0</v>
      </c>
      <c r="M86">
        <v>47.27</v>
      </c>
      <c r="N86">
        <v>0</v>
      </c>
      <c r="O86">
        <v>0</v>
      </c>
      <c r="P86">
        <v>9690.35</v>
      </c>
      <c r="Q86">
        <v>9690.35</v>
      </c>
      <c r="R86" s="1" t="s">
        <v>212</v>
      </c>
      <c r="S86" s="1" t="s">
        <v>26</v>
      </c>
      <c r="T86" s="1" t="s">
        <v>27</v>
      </c>
      <c r="U86" s="1" t="s">
        <v>208</v>
      </c>
      <c r="V86" s="1" t="s">
        <v>208</v>
      </c>
    </row>
    <row r="87" spans="1:22" x14ac:dyDescent="0.3">
      <c r="A87" s="1" t="s">
        <v>688</v>
      </c>
      <c r="B87" s="1" t="s">
        <v>689</v>
      </c>
      <c r="C87" s="1" t="s">
        <v>690</v>
      </c>
      <c r="D87" s="1" t="s">
        <v>221</v>
      </c>
      <c r="E87" s="1" t="s">
        <v>35</v>
      </c>
      <c r="F87">
        <v>8</v>
      </c>
      <c r="G87">
        <v>0</v>
      </c>
      <c r="H87">
        <v>0</v>
      </c>
      <c r="I87">
        <v>0</v>
      </c>
      <c r="J87">
        <v>0</v>
      </c>
      <c r="K87">
        <v>0</v>
      </c>
      <c r="L87">
        <v>0</v>
      </c>
      <c r="M87">
        <v>0</v>
      </c>
      <c r="N87">
        <v>0</v>
      </c>
      <c r="O87">
        <v>0</v>
      </c>
      <c r="P87">
        <v>0</v>
      </c>
      <c r="Q87">
        <v>0</v>
      </c>
      <c r="R87" s="1" t="s">
        <v>212</v>
      </c>
      <c r="S87" s="1" t="s">
        <v>26</v>
      </c>
      <c r="T87" s="1" t="s">
        <v>27</v>
      </c>
      <c r="U87" s="1" t="s">
        <v>208</v>
      </c>
      <c r="V87" s="1" t="s">
        <v>208</v>
      </c>
    </row>
    <row r="88" spans="1:22" x14ac:dyDescent="0.3">
      <c r="A88" s="1" t="s">
        <v>688</v>
      </c>
      <c r="B88" s="1" t="s">
        <v>689</v>
      </c>
      <c r="C88" s="1" t="s">
        <v>690</v>
      </c>
      <c r="D88" s="1" t="s">
        <v>222</v>
      </c>
      <c r="E88" s="1" t="s">
        <v>223</v>
      </c>
      <c r="F88">
        <v>120</v>
      </c>
      <c r="G88">
        <v>0</v>
      </c>
      <c r="H88">
        <v>0</v>
      </c>
      <c r="I88">
        <v>0</v>
      </c>
      <c r="J88">
        <v>0</v>
      </c>
      <c r="K88">
        <v>0</v>
      </c>
      <c r="L88">
        <v>8.49</v>
      </c>
      <c r="M88">
        <v>56.72</v>
      </c>
      <c r="N88">
        <v>0</v>
      </c>
      <c r="O88">
        <v>0</v>
      </c>
      <c r="P88">
        <v>11627.6</v>
      </c>
      <c r="Q88">
        <v>11627.6</v>
      </c>
      <c r="R88" s="1" t="s">
        <v>224</v>
      </c>
      <c r="S88" s="1" t="s">
        <v>26</v>
      </c>
      <c r="T88" s="1" t="s">
        <v>27</v>
      </c>
      <c r="U88" s="1" t="s">
        <v>208</v>
      </c>
      <c r="V88" s="1" t="s">
        <v>208</v>
      </c>
    </row>
    <row r="89" spans="1:22" x14ac:dyDescent="0.3">
      <c r="A89" s="1" t="s">
        <v>688</v>
      </c>
      <c r="B89" s="1" t="s">
        <v>689</v>
      </c>
      <c r="C89" s="1" t="s">
        <v>690</v>
      </c>
      <c r="D89" s="1" t="s">
        <v>225</v>
      </c>
      <c r="E89" s="1" t="s">
        <v>226</v>
      </c>
      <c r="F89">
        <v>120</v>
      </c>
      <c r="G89">
        <v>0</v>
      </c>
      <c r="H89">
        <v>0</v>
      </c>
      <c r="I89">
        <v>0</v>
      </c>
      <c r="J89">
        <v>0</v>
      </c>
      <c r="K89">
        <v>0</v>
      </c>
      <c r="L89">
        <v>0</v>
      </c>
      <c r="M89">
        <v>87.93</v>
      </c>
      <c r="N89">
        <v>0</v>
      </c>
      <c r="O89">
        <v>0</v>
      </c>
      <c r="P89">
        <v>18025.650000000001</v>
      </c>
      <c r="Q89">
        <v>18025.650000000001</v>
      </c>
      <c r="R89" s="1" t="s">
        <v>224</v>
      </c>
      <c r="S89" s="1" t="s">
        <v>26</v>
      </c>
      <c r="T89" s="1" t="s">
        <v>27</v>
      </c>
      <c r="U89" s="1" t="s">
        <v>208</v>
      </c>
      <c r="V89" s="1" t="s">
        <v>208</v>
      </c>
    </row>
    <row r="90" spans="1:22" x14ac:dyDescent="0.3">
      <c r="A90" s="1" t="s">
        <v>688</v>
      </c>
      <c r="B90" s="1" t="s">
        <v>689</v>
      </c>
      <c r="C90" s="1" t="s">
        <v>690</v>
      </c>
      <c r="D90" s="1" t="s">
        <v>227</v>
      </c>
      <c r="E90" s="1" t="s">
        <v>228</v>
      </c>
      <c r="F90">
        <v>40</v>
      </c>
      <c r="G90">
        <v>0</v>
      </c>
      <c r="H90">
        <v>0</v>
      </c>
      <c r="I90">
        <v>0</v>
      </c>
      <c r="J90">
        <v>0</v>
      </c>
      <c r="K90">
        <v>0</v>
      </c>
      <c r="L90">
        <v>0</v>
      </c>
      <c r="M90">
        <v>0</v>
      </c>
      <c r="N90">
        <v>0</v>
      </c>
      <c r="O90">
        <v>0</v>
      </c>
      <c r="P90">
        <v>0</v>
      </c>
      <c r="Q90">
        <v>0</v>
      </c>
      <c r="R90" s="1" t="s">
        <v>224</v>
      </c>
      <c r="S90" s="1" t="s">
        <v>26</v>
      </c>
      <c r="T90" s="1" t="s">
        <v>27</v>
      </c>
      <c r="U90" s="1" t="s">
        <v>208</v>
      </c>
      <c r="V90" s="1" t="s">
        <v>208</v>
      </c>
    </row>
    <row r="91" spans="1:22" x14ac:dyDescent="0.3">
      <c r="A91" s="1" t="s">
        <v>688</v>
      </c>
      <c r="B91" s="1" t="s">
        <v>689</v>
      </c>
      <c r="C91" s="1" t="s">
        <v>690</v>
      </c>
      <c r="D91" s="1" t="s">
        <v>229</v>
      </c>
      <c r="E91" s="1" t="s">
        <v>36</v>
      </c>
      <c r="F91">
        <v>120</v>
      </c>
      <c r="G91">
        <v>0</v>
      </c>
      <c r="H91">
        <v>0</v>
      </c>
      <c r="I91">
        <v>0</v>
      </c>
      <c r="J91">
        <v>0</v>
      </c>
      <c r="K91">
        <v>0</v>
      </c>
      <c r="L91">
        <v>0</v>
      </c>
      <c r="M91">
        <v>22.97</v>
      </c>
      <c r="N91">
        <v>0</v>
      </c>
      <c r="O91">
        <v>0</v>
      </c>
      <c r="P91">
        <v>4708.8500000000004</v>
      </c>
      <c r="Q91">
        <v>4708.8500000000004</v>
      </c>
      <c r="R91" s="1" t="s">
        <v>212</v>
      </c>
      <c r="S91" s="1" t="s">
        <v>26</v>
      </c>
      <c r="T91" s="1" t="s">
        <v>27</v>
      </c>
      <c r="U91" s="1" t="s">
        <v>208</v>
      </c>
      <c r="V91" s="1" t="s">
        <v>208</v>
      </c>
    </row>
    <row r="92" spans="1:22" x14ac:dyDescent="0.3">
      <c r="A92" s="1" t="s">
        <v>688</v>
      </c>
      <c r="B92" s="1" t="s">
        <v>689</v>
      </c>
      <c r="C92" s="1" t="s">
        <v>690</v>
      </c>
      <c r="D92" s="1" t="s">
        <v>230</v>
      </c>
      <c r="E92" s="1" t="s">
        <v>37</v>
      </c>
      <c r="F92">
        <v>32</v>
      </c>
      <c r="G92">
        <v>0</v>
      </c>
      <c r="H92">
        <v>0</v>
      </c>
      <c r="I92">
        <v>0</v>
      </c>
      <c r="J92">
        <v>0</v>
      </c>
      <c r="K92">
        <v>0</v>
      </c>
      <c r="L92">
        <v>0</v>
      </c>
      <c r="M92">
        <v>66.010000000000005</v>
      </c>
      <c r="N92">
        <v>0</v>
      </c>
      <c r="O92">
        <v>0</v>
      </c>
      <c r="P92">
        <v>13532.05</v>
      </c>
      <c r="Q92">
        <v>13532.05</v>
      </c>
      <c r="R92" s="1" t="s">
        <v>212</v>
      </c>
      <c r="S92" s="1" t="s">
        <v>26</v>
      </c>
      <c r="T92" s="1" t="s">
        <v>27</v>
      </c>
      <c r="U92" s="1" t="s">
        <v>208</v>
      </c>
      <c r="V92" s="1" t="s">
        <v>208</v>
      </c>
    </row>
    <row r="93" spans="1:22" x14ac:dyDescent="0.3">
      <c r="A93" s="1" t="s">
        <v>688</v>
      </c>
      <c r="B93" s="1" t="s">
        <v>689</v>
      </c>
      <c r="C93" s="1" t="s">
        <v>690</v>
      </c>
      <c r="D93" s="1" t="s">
        <v>231</v>
      </c>
      <c r="E93" s="1" t="s">
        <v>232</v>
      </c>
      <c r="F93">
        <v>32</v>
      </c>
      <c r="G93">
        <v>0</v>
      </c>
      <c r="H93">
        <v>0</v>
      </c>
      <c r="I93">
        <v>0</v>
      </c>
      <c r="J93">
        <v>0</v>
      </c>
      <c r="K93">
        <v>0</v>
      </c>
      <c r="L93">
        <v>0</v>
      </c>
      <c r="M93">
        <v>17.670000000000002</v>
      </c>
      <c r="N93">
        <v>0</v>
      </c>
      <c r="O93">
        <v>0</v>
      </c>
      <c r="P93">
        <v>3622.35</v>
      </c>
      <c r="Q93">
        <v>3622.35</v>
      </c>
      <c r="R93" s="1" t="s">
        <v>212</v>
      </c>
      <c r="S93" s="1" t="s">
        <v>26</v>
      </c>
      <c r="T93" s="1" t="s">
        <v>27</v>
      </c>
      <c r="U93" s="1" t="s">
        <v>208</v>
      </c>
      <c r="V93" s="1" t="s">
        <v>208</v>
      </c>
    </row>
    <row r="94" spans="1:22" x14ac:dyDescent="0.3">
      <c r="A94" s="1" t="s">
        <v>688</v>
      </c>
      <c r="B94" s="1" t="s">
        <v>689</v>
      </c>
      <c r="C94" s="1" t="s">
        <v>690</v>
      </c>
      <c r="D94" s="1" t="s">
        <v>233</v>
      </c>
      <c r="E94" s="1" t="s">
        <v>38</v>
      </c>
      <c r="F94">
        <v>48</v>
      </c>
      <c r="G94">
        <v>0</v>
      </c>
      <c r="H94">
        <v>0</v>
      </c>
      <c r="I94">
        <v>0</v>
      </c>
      <c r="J94">
        <v>0</v>
      </c>
      <c r="K94">
        <v>0</v>
      </c>
      <c r="L94">
        <v>0</v>
      </c>
      <c r="M94">
        <v>15.29</v>
      </c>
      <c r="N94">
        <v>0</v>
      </c>
      <c r="O94">
        <v>0</v>
      </c>
      <c r="P94">
        <v>3134.45</v>
      </c>
      <c r="Q94">
        <v>3134.45</v>
      </c>
      <c r="R94" s="1" t="s">
        <v>212</v>
      </c>
      <c r="S94" s="1" t="s">
        <v>26</v>
      </c>
      <c r="T94" s="1" t="s">
        <v>27</v>
      </c>
      <c r="U94" s="1" t="s">
        <v>208</v>
      </c>
      <c r="V94" s="1" t="s">
        <v>208</v>
      </c>
    </row>
    <row r="95" spans="1:22" x14ac:dyDescent="0.3">
      <c r="A95" s="1" t="s">
        <v>688</v>
      </c>
      <c r="B95" s="1" t="s">
        <v>689</v>
      </c>
      <c r="C95" s="1" t="s">
        <v>690</v>
      </c>
      <c r="D95" s="1" t="s">
        <v>234</v>
      </c>
      <c r="E95" s="1" t="s">
        <v>235</v>
      </c>
      <c r="F95">
        <v>8</v>
      </c>
      <c r="G95">
        <v>0</v>
      </c>
      <c r="H95">
        <v>0</v>
      </c>
      <c r="I95">
        <v>0</v>
      </c>
      <c r="J95">
        <v>0</v>
      </c>
      <c r="K95">
        <v>0</v>
      </c>
      <c r="L95">
        <v>0</v>
      </c>
      <c r="M95">
        <v>1.45</v>
      </c>
      <c r="N95">
        <v>0</v>
      </c>
      <c r="O95">
        <v>0</v>
      </c>
      <c r="P95">
        <v>297.25</v>
      </c>
      <c r="Q95">
        <v>297.25</v>
      </c>
      <c r="R95" s="1" t="s">
        <v>212</v>
      </c>
      <c r="S95" s="1" t="s">
        <v>26</v>
      </c>
      <c r="T95" s="1" t="s">
        <v>27</v>
      </c>
      <c r="U95" s="1" t="s">
        <v>208</v>
      </c>
      <c r="V95" s="1" t="s">
        <v>208</v>
      </c>
    </row>
    <row r="96" spans="1:22" x14ac:dyDescent="0.3">
      <c r="A96" s="1" t="s">
        <v>688</v>
      </c>
      <c r="B96" s="1" t="s">
        <v>689</v>
      </c>
      <c r="C96" s="1" t="s">
        <v>690</v>
      </c>
      <c r="D96" s="1" t="s">
        <v>236</v>
      </c>
      <c r="E96" s="1" t="s">
        <v>237</v>
      </c>
      <c r="F96">
        <v>24</v>
      </c>
      <c r="G96">
        <v>0</v>
      </c>
      <c r="H96">
        <v>0</v>
      </c>
      <c r="I96">
        <v>0</v>
      </c>
      <c r="J96">
        <v>0</v>
      </c>
      <c r="K96">
        <v>0</v>
      </c>
      <c r="L96">
        <v>0</v>
      </c>
      <c r="M96">
        <v>9.2899999999999991</v>
      </c>
      <c r="N96">
        <v>0</v>
      </c>
      <c r="O96">
        <v>0</v>
      </c>
      <c r="P96">
        <v>1904.45</v>
      </c>
      <c r="Q96">
        <v>1904.45</v>
      </c>
      <c r="R96" s="1" t="s">
        <v>212</v>
      </c>
      <c r="S96" s="1" t="s">
        <v>26</v>
      </c>
      <c r="T96" s="1" t="s">
        <v>27</v>
      </c>
      <c r="U96" s="1" t="s">
        <v>208</v>
      </c>
      <c r="V96" s="1" t="s">
        <v>208</v>
      </c>
    </row>
    <row r="97" spans="1:22" x14ac:dyDescent="0.3">
      <c r="A97" s="1" t="s">
        <v>688</v>
      </c>
      <c r="B97" s="1" t="s">
        <v>689</v>
      </c>
      <c r="C97" s="1" t="s">
        <v>690</v>
      </c>
      <c r="D97" s="1" t="s">
        <v>238</v>
      </c>
      <c r="E97" s="1" t="s">
        <v>239</v>
      </c>
      <c r="F97">
        <v>40</v>
      </c>
      <c r="G97">
        <v>0</v>
      </c>
      <c r="H97">
        <v>0</v>
      </c>
      <c r="I97">
        <v>0</v>
      </c>
      <c r="J97">
        <v>0</v>
      </c>
      <c r="K97">
        <v>0</v>
      </c>
      <c r="L97">
        <v>0</v>
      </c>
      <c r="M97">
        <v>0</v>
      </c>
      <c r="N97">
        <v>0</v>
      </c>
      <c r="O97">
        <v>0</v>
      </c>
      <c r="P97">
        <v>0</v>
      </c>
      <c r="Q97">
        <v>0</v>
      </c>
      <c r="R97" s="1" t="s">
        <v>212</v>
      </c>
      <c r="S97" s="1" t="s">
        <v>26</v>
      </c>
      <c r="T97" s="1" t="s">
        <v>27</v>
      </c>
      <c r="U97" s="1" t="s">
        <v>208</v>
      </c>
      <c r="V97" s="1" t="s">
        <v>208</v>
      </c>
    </row>
    <row r="98" spans="1:22" x14ac:dyDescent="0.3">
      <c r="A98" s="1" t="s">
        <v>688</v>
      </c>
      <c r="B98" s="1" t="s">
        <v>689</v>
      </c>
      <c r="C98" s="1" t="s">
        <v>690</v>
      </c>
      <c r="D98" s="1" t="s">
        <v>240</v>
      </c>
      <c r="E98" s="1" t="s">
        <v>241</v>
      </c>
      <c r="F98">
        <v>8</v>
      </c>
      <c r="G98">
        <v>0</v>
      </c>
      <c r="H98">
        <v>0</v>
      </c>
      <c r="I98">
        <v>0</v>
      </c>
      <c r="J98">
        <v>0</v>
      </c>
      <c r="K98">
        <v>0</v>
      </c>
      <c r="L98">
        <v>0</v>
      </c>
      <c r="M98">
        <v>0</v>
      </c>
      <c r="N98">
        <v>0</v>
      </c>
      <c r="O98">
        <v>0</v>
      </c>
      <c r="P98">
        <v>0</v>
      </c>
      <c r="Q98">
        <v>0</v>
      </c>
      <c r="R98" s="1" t="s">
        <v>212</v>
      </c>
      <c r="S98" s="1" t="s">
        <v>26</v>
      </c>
      <c r="T98" s="1" t="s">
        <v>27</v>
      </c>
      <c r="U98" s="1" t="s">
        <v>208</v>
      </c>
      <c r="V98" s="1" t="s">
        <v>208</v>
      </c>
    </row>
    <row r="99" spans="1:22" x14ac:dyDescent="0.3">
      <c r="A99" s="1" t="s">
        <v>688</v>
      </c>
      <c r="B99" s="1" t="s">
        <v>689</v>
      </c>
      <c r="C99" s="1" t="s">
        <v>690</v>
      </c>
      <c r="D99" s="1" t="s">
        <v>15</v>
      </c>
      <c r="E99" s="1" t="s">
        <v>242</v>
      </c>
      <c r="F99">
        <v>400</v>
      </c>
      <c r="G99">
        <v>0</v>
      </c>
      <c r="H99">
        <v>0</v>
      </c>
      <c r="I99">
        <v>0</v>
      </c>
      <c r="J99">
        <v>0</v>
      </c>
      <c r="K99">
        <v>0</v>
      </c>
      <c r="L99">
        <v>0</v>
      </c>
      <c r="M99">
        <v>12.47</v>
      </c>
      <c r="N99">
        <v>0</v>
      </c>
      <c r="O99">
        <v>0</v>
      </c>
      <c r="P99">
        <v>1826.86</v>
      </c>
      <c r="Q99">
        <v>1826.86</v>
      </c>
      <c r="R99" s="1" t="s">
        <v>243</v>
      </c>
      <c r="S99" s="1" t="s">
        <v>26</v>
      </c>
      <c r="T99" s="1" t="s">
        <v>27</v>
      </c>
      <c r="U99" s="1" t="s">
        <v>208</v>
      </c>
      <c r="V99" s="1" t="s">
        <v>208</v>
      </c>
    </row>
    <row r="100" spans="1:22" x14ac:dyDescent="0.3">
      <c r="A100" s="1" t="s">
        <v>688</v>
      </c>
      <c r="B100" s="1" t="s">
        <v>689</v>
      </c>
      <c r="C100" s="1" t="s">
        <v>690</v>
      </c>
      <c r="D100" s="1" t="s">
        <v>16</v>
      </c>
      <c r="E100" s="1" t="s">
        <v>246</v>
      </c>
      <c r="F100">
        <v>0</v>
      </c>
      <c r="G100">
        <v>0</v>
      </c>
      <c r="H100">
        <v>0</v>
      </c>
      <c r="I100">
        <v>0</v>
      </c>
      <c r="J100">
        <v>0</v>
      </c>
      <c r="K100">
        <v>0</v>
      </c>
      <c r="L100">
        <v>0</v>
      </c>
      <c r="M100">
        <v>30.96</v>
      </c>
      <c r="N100">
        <v>0</v>
      </c>
      <c r="O100">
        <v>0</v>
      </c>
      <c r="P100">
        <v>4535.66</v>
      </c>
      <c r="Q100">
        <v>4535.66</v>
      </c>
      <c r="R100" s="1" t="s">
        <v>207</v>
      </c>
      <c r="S100" s="1" t="s">
        <v>26</v>
      </c>
      <c r="T100" s="1" t="s">
        <v>27</v>
      </c>
      <c r="U100" s="1" t="s">
        <v>208</v>
      </c>
      <c r="V100" s="1" t="s">
        <v>208</v>
      </c>
    </row>
    <row r="101" spans="1:22" x14ac:dyDescent="0.3">
      <c r="A101" s="1" t="s">
        <v>688</v>
      </c>
      <c r="B101" s="1" t="s">
        <v>691</v>
      </c>
      <c r="C101" s="1" t="s">
        <v>248</v>
      </c>
      <c r="D101" s="1" t="s">
        <v>249</v>
      </c>
      <c r="E101" s="1" t="s">
        <v>250</v>
      </c>
      <c r="F101">
        <v>0</v>
      </c>
      <c r="G101">
        <v>0</v>
      </c>
      <c r="H101">
        <v>0</v>
      </c>
      <c r="I101">
        <v>0</v>
      </c>
      <c r="J101">
        <v>0</v>
      </c>
      <c r="K101">
        <v>0</v>
      </c>
      <c r="L101">
        <v>0</v>
      </c>
      <c r="M101">
        <v>0.93</v>
      </c>
      <c r="N101">
        <v>0</v>
      </c>
      <c r="O101">
        <v>0</v>
      </c>
      <c r="P101">
        <v>192.51</v>
      </c>
      <c r="Q101">
        <v>192.51</v>
      </c>
      <c r="R101" s="1" t="s">
        <v>212</v>
      </c>
      <c r="S101" s="1" t="s">
        <v>63</v>
      </c>
      <c r="T101" s="1" t="s">
        <v>64</v>
      </c>
      <c r="U101" s="1" t="s">
        <v>192</v>
      </c>
      <c r="V101" s="1"/>
    </row>
    <row r="102" spans="1:22" x14ac:dyDescent="0.3">
      <c r="A102" s="1" t="s">
        <v>688</v>
      </c>
      <c r="B102" s="1" t="s">
        <v>692</v>
      </c>
      <c r="C102" s="1" t="s">
        <v>254</v>
      </c>
      <c r="D102" s="1" t="s">
        <v>249</v>
      </c>
      <c r="E102" s="1" t="s">
        <v>199</v>
      </c>
      <c r="F102">
        <v>0</v>
      </c>
      <c r="G102">
        <v>0</v>
      </c>
      <c r="H102">
        <v>0</v>
      </c>
      <c r="I102">
        <v>0</v>
      </c>
      <c r="J102">
        <v>0</v>
      </c>
      <c r="K102">
        <v>0</v>
      </c>
      <c r="L102">
        <v>0</v>
      </c>
      <c r="M102">
        <v>2.71</v>
      </c>
      <c r="N102">
        <v>0</v>
      </c>
      <c r="O102">
        <v>0</v>
      </c>
      <c r="P102">
        <v>560.97</v>
      </c>
      <c r="Q102">
        <v>560.97</v>
      </c>
      <c r="R102" s="1" t="s">
        <v>212</v>
      </c>
      <c r="S102" s="1" t="s">
        <v>63</v>
      </c>
      <c r="T102" s="1" t="s">
        <v>64</v>
      </c>
      <c r="U102" s="1" t="s">
        <v>192</v>
      </c>
      <c r="V102" s="1"/>
    </row>
    <row r="103" spans="1:22" x14ac:dyDescent="0.3">
      <c r="A103" s="1" t="s">
        <v>688</v>
      </c>
      <c r="B103" s="1" t="s">
        <v>693</v>
      </c>
      <c r="C103" s="1" t="s">
        <v>257</v>
      </c>
      <c r="D103" s="1" t="s">
        <v>249</v>
      </c>
      <c r="E103" s="1" t="s">
        <v>199</v>
      </c>
      <c r="F103">
        <v>0</v>
      </c>
      <c r="G103">
        <v>0</v>
      </c>
      <c r="H103">
        <v>0</v>
      </c>
      <c r="I103">
        <v>0</v>
      </c>
      <c r="J103">
        <v>0</v>
      </c>
      <c r="K103">
        <v>0</v>
      </c>
      <c r="L103">
        <v>0</v>
      </c>
      <c r="M103">
        <v>1.29</v>
      </c>
      <c r="N103">
        <v>0</v>
      </c>
      <c r="O103">
        <v>0</v>
      </c>
      <c r="P103">
        <v>264.45</v>
      </c>
      <c r="Q103">
        <v>264.45</v>
      </c>
      <c r="R103" s="1" t="s">
        <v>212</v>
      </c>
      <c r="S103" s="1" t="s">
        <v>63</v>
      </c>
      <c r="T103" s="1" t="s">
        <v>64</v>
      </c>
      <c r="U103" s="1" t="s">
        <v>192</v>
      </c>
      <c r="V103" s="1"/>
    </row>
    <row r="104" spans="1:22" x14ac:dyDescent="0.3">
      <c r="A104" s="1" t="s">
        <v>688</v>
      </c>
      <c r="B104" s="1" t="s">
        <v>694</v>
      </c>
      <c r="C104" s="1" t="s">
        <v>266</v>
      </c>
      <c r="D104" s="1" t="s">
        <v>249</v>
      </c>
      <c r="E104" s="1" t="s">
        <v>199</v>
      </c>
      <c r="F104">
        <v>0</v>
      </c>
      <c r="G104">
        <v>0</v>
      </c>
      <c r="H104">
        <v>0</v>
      </c>
      <c r="I104">
        <v>0</v>
      </c>
      <c r="J104">
        <v>0</v>
      </c>
      <c r="K104">
        <v>0</v>
      </c>
      <c r="L104">
        <v>0</v>
      </c>
      <c r="M104">
        <v>12.09</v>
      </c>
      <c r="N104">
        <v>0</v>
      </c>
      <c r="O104">
        <v>0</v>
      </c>
      <c r="P104">
        <v>2478.4499999999998</v>
      </c>
      <c r="Q104">
        <v>2478.4499999999998</v>
      </c>
      <c r="R104" s="1" t="s">
        <v>212</v>
      </c>
      <c r="S104" s="1" t="s">
        <v>63</v>
      </c>
      <c r="T104" s="1" t="s">
        <v>64</v>
      </c>
      <c r="U104" s="1" t="s">
        <v>192</v>
      </c>
      <c r="V104" s="1"/>
    </row>
    <row r="105" spans="1:22" x14ac:dyDescent="0.3">
      <c r="A105" s="1" t="s">
        <v>688</v>
      </c>
      <c r="B105" s="1" t="s">
        <v>694</v>
      </c>
      <c r="C105" s="1" t="s">
        <v>266</v>
      </c>
      <c r="D105" s="1" t="s">
        <v>16</v>
      </c>
      <c r="E105" s="1" t="s">
        <v>255</v>
      </c>
      <c r="F105">
        <v>0</v>
      </c>
      <c r="G105">
        <v>0</v>
      </c>
      <c r="H105">
        <v>0</v>
      </c>
      <c r="I105">
        <v>0</v>
      </c>
      <c r="J105">
        <v>0</v>
      </c>
      <c r="K105">
        <v>0</v>
      </c>
      <c r="L105">
        <v>0</v>
      </c>
      <c r="M105">
        <v>9.65</v>
      </c>
      <c r="N105">
        <v>0</v>
      </c>
      <c r="O105">
        <v>0</v>
      </c>
      <c r="P105">
        <v>1413.72</v>
      </c>
      <c r="Q105">
        <v>1413.72</v>
      </c>
      <c r="R105" s="1" t="s">
        <v>207</v>
      </c>
      <c r="S105" s="1" t="s">
        <v>63</v>
      </c>
      <c r="T105" s="1" t="s">
        <v>64</v>
      </c>
      <c r="U105" s="1" t="s">
        <v>192</v>
      </c>
      <c r="V105" s="1"/>
    </row>
    <row r="106" spans="1:22" x14ac:dyDescent="0.3">
      <c r="A106" s="1" t="s">
        <v>688</v>
      </c>
      <c r="B106" s="1" t="s">
        <v>694</v>
      </c>
      <c r="C106" s="1" t="s">
        <v>266</v>
      </c>
      <c r="D106" s="1" t="s">
        <v>263</v>
      </c>
      <c r="E106" s="1" t="s">
        <v>267</v>
      </c>
      <c r="F106">
        <v>0</v>
      </c>
      <c r="G106">
        <v>0</v>
      </c>
      <c r="H106">
        <v>0</v>
      </c>
      <c r="I106">
        <v>0</v>
      </c>
      <c r="J106">
        <v>0</v>
      </c>
      <c r="K106">
        <v>0</v>
      </c>
      <c r="L106">
        <v>0</v>
      </c>
      <c r="M106">
        <v>1.2</v>
      </c>
      <c r="N106">
        <v>0</v>
      </c>
      <c r="O106">
        <v>25.2</v>
      </c>
      <c r="P106">
        <v>127.2</v>
      </c>
      <c r="Q106">
        <v>152.4</v>
      </c>
      <c r="R106" s="1" t="s">
        <v>264</v>
      </c>
      <c r="S106" s="1" t="s">
        <v>63</v>
      </c>
      <c r="T106" s="1" t="s">
        <v>64</v>
      </c>
      <c r="U106" s="1" t="s">
        <v>192</v>
      </c>
      <c r="V106" s="1"/>
    </row>
    <row r="107" spans="1:22" x14ac:dyDescent="0.3">
      <c r="A107" s="1" t="s">
        <v>688</v>
      </c>
      <c r="B107" s="1" t="s">
        <v>695</v>
      </c>
      <c r="C107" s="1" t="s">
        <v>269</v>
      </c>
      <c r="D107" s="1" t="s">
        <v>249</v>
      </c>
      <c r="E107" s="1" t="s">
        <v>199</v>
      </c>
      <c r="F107">
        <v>0</v>
      </c>
      <c r="G107">
        <v>0</v>
      </c>
      <c r="H107">
        <v>0</v>
      </c>
      <c r="I107">
        <v>0</v>
      </c>
      <c r="J107">
        <v>0</v>
      </c>
      <c r="K107">
        <v>0</v>
      </c>
      <c r="L107">
        <v>0</v>
      </c>
      <c r="M107">
        <v>21.6</v>
      </c>
      <c r="N107">
        <v>0</v>
      </c>
      <c r="O107">
        <v>0</v>
      </c>
      <c r="P107">
        <v>4428</v>
      </c>
      <c r="Q107">
        <v>4428</v>
      </c>
      <c r="R107" s="1" t="s">
        <v>212</v>
      </c>
      <c r="S107" s="1" t="s">
        <v>63</v>
      </c>
      <c r="T107" s="1" t="s">
        <v>64</v>
      </c>
      <c r="U107" s="1" t="s">
        <v>192</v>
      </c>
      <c r="V107" s="1"/>
    </row>
    <row r="108" spans="1:22" x14ac:dyDescent="0.3">
      <c r="A108" s="1" t="s">
        <v>688</v>
      </c>
      <c r="B108" s="1" t="s">
        <v>696</v>
      </c>
      <c r="C108" s="1" t="s">
        <v>271</v>
      </c>
      <c r="D108" s="1" t="s">
        <v>249</v>
      </c>
      <c r="E108" s="1" t="s">
        <v>199</v>
      </c>
      <c r="F108">
        <v>0</v>
      </c>
      <c r="G108">
        <v>0</v>
      </c>
      <c r="H108">
        <v>0</v>
      </c>
      <c r="I108">
        <v>0</v>
      </c>
      <c r="J108">
        <v>0</v>
      </c>
      <c r="K108">
        <v>0</v>
      </c>
      <c r="L108">
        <v>0</v>
      </c>
      <c r="M108">
        <v>4.6500000000000004</v>
      </c>
      <c r="N108">
        <v>0</v>
      </c>
      <c r="O108">
        <v>0</v>
      </c>
      <c r="P108">
        <v>953.25</v>
      </c>
      <c r="Q108">
        <v>953.25</v>
      </c>
      <c r="R108" s="1" t="s">
        <v>212</v>
      </c>
      <c r="S108" s="1" t="s">
        <v>63</v>
      </c>
      <c r="T108" s="1" t="s">
        <v>64</v>
      </c>
      <c r="U108" s="1" t="s">
        <v>192</v>
      </c>
      <c r="V108" s="1"/>
    </row>
    <row r="109" spans="1:22" x14ac:dyDescent="0.3">
      <c r="A109" s="1" t="s">
        <v>405</v>
      </c>
      <c r="B109" s="1" t="s">
        <v>406</v>
      </c>
      <c r="C109" s="1" t="s">
        <v>407</v>
      </c>
      <c r="D109" s="1" t="s">
        <v>205</v>
      </c>
      <c r="E109" s="1" t="s">
        <v>206</v>
      </c>
      <c r="F109">
        <v>0</v>
      </c>
      <c r="G109">
        <v>0</v>
      </c>
      <c r="H109">
        <v>0</v>
      </c>
      <c r="I109">
        <v>0</v>
      </c>
      <c r="J109">
        <v>0</v>
      </c>
      <c r="K109">
        <v>0</v>
      </c>
      <c r="L109">
        <v>0</v>
      </c>
      <c r="M109">
        <v>1118.4000000000001</v>
      </c>
      <c r="N109">
        <v>0</v>
      </c>
      <c r="O109">
        <v>0</v>
      </c>
      <c r="P109">
        <v>163846.13</v>
      </c>
      <c r="Q109">
        <v>163846.13</v>
      </c>
      <c r="R109" s="1" t="s">
        <v>207</v>
      </c>
      <c r="S109" s="1" t="s">
        <v>26</v>
      </c>
      <c r="T109" s="1" t="s">
        <v>27</v>
      </c>
      <c r="U109" s="1" t="s">
        <v>208</v>
      </c>
      <c r="V109" s="1" t="s">
        <v>208</v>
      </c>
    </row>
    <row r="110" spans="1:22" x14ac:dyDescent="0.3">
      <c r="A110" s="1" t="s">
        <v>405</v>
      </c>
      <c r="B110" s="1" t="s">
        <v>406</v>
      </c>
      <c r="C110" s="1" t="s">
        <v>407</v>
      </c>
      <c r="D110" s="1" t="s">
        <v>28</v>
      </c>
      <c r="E110" s="1" t="s">
        <v>29</v>
      </c>
      <c r="F110">
        <v>0</v>
      </c>
      <c r="G110">
        <v>0</v>
      </c>
      <c r="H110">
        <v>0</v>
      </c>
      <c r="I110">
        <v>0</v>
      </c>
      <c r="J110">
        <v>0</v>
      </c>
      <c r="K110">
        <v>0</v>
      </c>
      <c r="L110">
        <v>0</v>
      </c>
      <c r="M110">
        <v>1764.35</v>
      </c>
      <c r="N110">
        <v>0</v>
      </c>
      <c r="O110">
        <v>0</v>
      </c>
      <c r="P110">
        <v>258477.8</v>
      </c>
      <c r="Q110">
        <v>258477.8</v>
      </c>
      <c r="R110" s="1" t="s">
        <v>260</v>
      </c>
      <c r="S110" s="1" t="s">
        <v>26</v>
      </c>
      <c r="T110" s="1" t="s">
        <v>27</v>
      </c>
      <c r="U110" s="1" t="s">
        <v>208</v>
      </c>
      <c r="V110" s="1" t="s">
        <v>208</v>
      </c>
    </row>
    <row r="111" spans="1:22" x14ac:dyDescent="0.3">
      <c r="A111" s="1" t="s">
        <v>405</v>
      </c>
      <c r="B111" s="1" t="s">
        <v>406</v>
      </c>
      <c r="C111" s="1" t="s">
        <v>407</v>
      </c>
      <c r="D111" s="1" t="s">
        <v>30</v>
      </c>
      <c r="E111" s="1" t="s">
        <v>211</v>
      </c>
      <c r="F111">
        <v>0</v>
      </c>
      <c r="G111">
        <v>4</v>
      </c>
      <c r="H111">
        <v>0</v>
      </c>
      <c r="I111">
        <v>0</v>
      </c>
      <c r="J111">
        <v>0</v>
      </c>
      <c r="K111">
        <v>0</v>
      </c>
      <c r="L111">
        <v>0</v>
      </c>
      <c r="M111">
        <v>11.83</v>
      </c>
      <c r="N111">
        <v>0</v>
      </c>
      <c r="O111">
        <v>0</v>
      </c>
      <c r="P111">
        <v>2425.15</v>
      </c>
      <c r="Q111">
        <v>2425.15</v>
      </c>
      <c r="R111" s="1" t="s">
        <v>212</v>
      </c>
      <c r="S111" s="1" t="s">
        <v>26</v>
      </c>
      <c r="T111" s="1" t="s">
        <v>27</v>
      </c>
      <c r="U111" s="1" t="s">
        <v>208</v>
      </c>
      <c r="V111" s="1" t="s">
        <v>208</v>
      </c>
    </row>
    <row r="112" spans="1:22" x14ac:dyDescent="0.3">
      <c r="A112" s="1" t="s">
        <v>405</v>
      </c>
      <c r="B112" s="1" t="s">
        <v>406</v>
      </c>
      <c r="C112" s="1" t="s">
        <v>407</v>
      </c>
      <c r="D112" s="1" t="s">
        <v>193</v>
      </c>
      <c r="E112" s="1" t="s">
        <v>31</v>
      </c>
      <c r="F112">
        <v>0</v>
      </c>
      <c r="G112">
        <v>20</v>
      </c>
      <c r="H112">
        <v>0</v>
      </c>
      <c r="I112">
        <v>0</v>
      </c>
      <c r="J112">
        <v>0</v>
      </c>
      <c r="K112">
        <v>0</v>
      </c>
      <c r="L112">
        <v>0</v>
      </c>
      <c r="M112">
        <v>0</v>
      </c>
      <c r="N112">
        <v>0</v>
      </c>
      <c r="O112">
        <v>0</v>
      </c>
      <c r="P112">
        <v>0</v>
      </c>
      <c r="Q112">
        <v>0</v>
      </c>
      <c r="R112" s="1" t="s">
        <v>212</v>
      </c>
      <c r="S112" s="1" t="s">
        <v>26</v>
      </c>
      <c r="T112" s="1" t="s">
        <v>27</v>
      </c>
      <c r="U112" s="1" t="s">
        <v>208</v>
      </c>
      <c r="V112" s="1" t="s">
        <v>208</v>
      </c>
    </row>
    <row r="113" spans="1:22" x14ac:dyDescent="0.3">
      <c r="A113" s="1" t="s">
        <v>405</v>
      </c>
      <c r="B113" s="1" t="s">
        <v>406</v>
      </c>
      <c r="C113" s="1" t="s">
        <v>407</v>
      </c>
      <c r="D113" s="1" t="s">
        <v>213</v>
      </c>
      <c r="E113" s="1" t="s">
        <v>32</v>
      </c>
      <c r="F113">
        <v>0</v>
      </c>
      <c r="G113">
        <v>12</v>
      </c>
      <c r="H113">
        <v>0</v>
      </c>
      <c r="I113">
        <v>0</v>
      </c>
      <c r="J113">
        <v>0</v>
      </c>
      <c r="K113">
        <v>0</v>
      </c>
      <c r="L113">
        <v>0</v>
      </c>
      <c r="M113">
        <v>0</v>
      </c>
      <c r="N113">
        <v>0</v>
      </c>
      <c r="O113">
        <v>0</v>
      </c>
      <c r="P113">
        <v>0</v>
      </c>
      <c r="Q113">
        <v>0</v>
      </c>
      <c r="R113" s="1" t="s">
        <v>212</v>
      </c>
      <c r="S113" s="1" t="s">
        <v>26</v>
      </c>
      <c r="T113" s="1" t="s">
        <v>27</v>
      </c>
      <c r="U113" s="1" t="s">
        <v>208</v>
      </c>
      <c r="V113" s="1" t="s">
        <v>208</v>
      </c>
    </row>
    <row r="114" spans="1:22" x14ac:dyDescent="0.3">
      <c r="A114" s="1" t="s">
        <v>405</v>
      </c>
      <c r="B114" s="1" t="s">
        <v>406</v>
      </c>
      <c r="C114" s="1" t="s">
        <v>407</v>
      </c>
      <c r="D114" s="1" t="s">
        <v>194</v>
      </c>
      <c r="E114" s="1" t="s">
        <v>214</v>
      </c>
      <c r="F114">
        <v>0</v>
      </c>
      <c r="G114">
        <v>12</v>
      </c>
      <c r="H114">
        <v>0</v>
      </c>
      <c r="I114">
        <v>0</v>
      </c>
      <c r="J114">
        <v>0</v>
      </c>
      <c r="K114">
        <v>0</v>
      </c>
      <c r="L114">
        <v>0</v>
      </c>
      <c r="M114">
        <v>0</v>
      </c>
      <c r="N114">
        <v>0</v>
      </c>
      <c r="O114">
        <v>0</v>
      </c>
      <c r="P114">
        <v>0</v>
      </c>
      <c r="Q114">
        <v>0</v>
      </c>
      <c r="R114" s="1" t="s">
        <v>212</v>
      </c>
      <c r="S114" s="1" t="s">
        <v>26</v>
      </c>
      <c r="T114" s="1" t="s">
        <v>27</v>
      </c>
      <c r="U114" s="1" t="s">
        <v>208</v>
      </c>
      <c r="V114" s="1" t="s">
        <v>208</v>
      </c>
    </row>
    <row r="115" spans="1:22" x14ac:dyDescent="0.3">
      <c r="A115" s="1" t="s">
        <v>405</v>
      </c>
      <c r="B115" s="1" t="s">
        <v>406</v>
      </c>
      <c r="C115" s="1" t="s">
        <v>407</v>
      </c>
      <c r="D115" s="1" t="s">
        <v>215</v>
      </c>
      <c r="E115" s="1" t="s">
        <v>33</v>
      </c>
      <c r="F115">
        <v>0</v>
      </c>
      <c r="G115">
        <v>24</v>
      </c>
      <c r="H115">
        <v>0</v>
      </c>
      <c r="I115">
        <v>0</v>
      </c>
      <c r="J115">
        <v>0</v>
      </c>
      <c r="K115">
        <v>0</v>
      </c>
      <c r="L115">
        <v>0</v>
      </c>
      <c r="M115">
        <v>0</v>
      </c>
      <c r="N115">
        <v>0</v>
      </c>
      <c r="O115">
        <v>0</v>
      </c>
      <c r="P115">
        <v>0</v>
      </c>
      <c r="Q115">
        <v>0</v>
      </c>
      <c r="R115" s="1" t="s">
        <v>212</v>
      </c>
      <c r="S115" s="1" t="s">
        <v>26</v>
      </c>
      <c r="T115" s="1" t="s">
        <v>27</v>
      </c>
      <c r="U115" s="1" t="s">
        <v>208</v>
      </c>
      <c r="V115" s="1" t="s">
        <v>208</v>
      </c>
    </row>
    <row r="116" spans="1:22" x14ac:dyDescent="0.3">
      <c r="A116" s="1" t="s">
        <v>405</v>
      </c>
      <c r="B116" s="1" t="s">
        <v>406</v>
      </c>
      <c r="C116" s="1" t="s">
        <v>407</v>
      </c>
      <c r="D116" s="1" t="s">
        <v>216</v>
      </c>
      <c r="E116" s="1" t="s">
        <v>217</v>
      </c>
      <c r="F116">
        <v>0</v>
      </c>
      <c r="G116">
        <v>24</v>
      </c>
      <c r="H116">
        <v>0</v>
      </c>
      <c r="I116">
        <v>0</v>
      </c>
      <c r="J116">
        <v>0</v>
      </c>
      <c r="K116">
        <v>0</v>
      </c>
      <c r="L116">
        <v>0</v>
      </c>
      <c r="M116">
        <v>0</v>
      </c>
      <c r="N116">
        <v>0</v>
      </c>
      <c r="O116">
        <v>0</v>
      </c>
      <c r="P116">
        <v>0</v>
      </c>
      <c r="Q116">
        <v>0</v>
      </c>
      <c r="R116" s="1" t="s">
        <v>212</v>
      </c>
      <c r="S116" s="1" t="s">
        <v>26</v>
      </c>
      <c r="T116" s="1" t="s">
        <v>27</v>
      </c>
      <c r="U116" s="1" t="s">
        <v>208</v>
      </c>
      <c r="V116" s="1" t="s">
        <v>208</v>
      </c>
    </row>
    <row r="117" spans="1:22" x14ac:dyDescent="0.3">
      <c r="A117" s="1" t="s">
        <v>405</v>
      </c>
      <c r="B117" s="1" t="s">
        <v>406</v>
      </c>
      <c r="C117" s="1" t="s">
        <v>407</v>
      </c>
      <c r="D117" s="1" t="s">
        <v>218</v>
      </c>
      <c r="E117" s="1" t="s">
        <v>34</v>
      </c>
      <c r="F117">
        <v>0</v>
      </c>
      <c r="G117">
        <v>56</v>
      </c>
      <c r="H117">
        <v>0</v>
      </c>
      <c r="I117">
        <v>0</v>
      </c>
      <c r="J117">
        <v>0</v>
      </c>
      <c r="K117">
        <v>0</v>
      </c>
      <c r="L117">
        <v>0</v>
      </c>
      <c r="M117">
        <v>0</v>
      </c>
      <c r="N117">
        <v>0</v>
      </c>
      <c r="O117">
        <v>0</v>
      </c>
      <c r="P117">
        <v>0</v>
      </c>
      <c r="Q117">
        <v>0</v>
      </c>
      <c r="R117" s="1" t="s">
        <v>212</v>
      </c>
      <c r="S117" s="1" t="s">
        <v>26</v>
      </c>
      <c r="T117" s="1" t="s">
        <v>27</v>
      </c>
      <c r="U117" s="1" t="s">
        <v>208</v>
      </c>
      <c r="V117" s="1" t="s">
        <v>208</v>
      </c>
    </row>
    <row r="118" spans="1:22" x14ac:dyDescent="0.3">
      <c r="A118" s="1" t="s">
        <v>405</v>
      </c>
      <c r="B118" s="1" t="s">
        <v>406</v>
      </c>
      <c r="C118" s="1" t="s">
        <v>407</v>
      </c>
      <c r="D118" s="1" t="s">
        <v>219</v>
      </c>
      <c r="E118" s="1" t="s">
        <v>220</v>
      </c>
      <c r="F118">
        <v>0</v>
      </c>
      <c r="G118">
        <v>56</v>
      </c>
      <c r="H118">
        <v>0</v>
      </c>
      <c r="I118">
        <v>0</v>
      </c>
      <c r="J118">
        <v>0</v>
      </c>
      <c r="K118">
        <v>0</v>
      </c>
      <c r="L118">
        <v>0</v>
      </c>
      <c r="M118">
        <v>0</v>
      </c>
      <c r="N118">
        <v>0</v>
      </c>
      <c r="O118">
        <v>0</v>
      </c>
      <c r="P118">
        <v>0</v>
      </c>
      <c r="Q118">
        <v>0</v>
      </c>
      <c r="R118" s="1" t="s">
        <v>212</v>
      </c>
      <c r="S118" s="1" t="s">
        <v>26</v>
      </c>
      <c r="T118" s="1" t="s">
        <v>27</v>
      </c>
      <c r="U118" s="1" t="s">
        <v>208</v>
      </c>
      <c r="V118" s="1" t="s">
        <v>208</v>
      </c>
    </row>
    <row r="119" spans="1:22" x14ac:dyDescent="0.3">
      <c r="A119" s="1" t="s">
        <v>405</v>
      </c>
      <c r="B119" s="1" t="s">
        <v>406</v>
      </c>
      <c r="C119" s="1" t="s">
        <v>407</v>
      </c>
      <c r="D119" s="1" t="s">
        <v>221</v>
      </c>
      <c r="E119" s="1" t="s">
        <v>35</v>
      </c>
      <c r="F119">
        <v>0</v>
      </c>
      <c r="G119">
        <v>8</v>
      </c>
      <c r="H119">
        <v>0</v>
      </c>
      <c r="I119">
        <v>0</v>
      </c>
      <c r="J119">
        <v>0</v>
      </c>
      <c r="K119">
        <v>0</v>
      </c>
      <c r="L119">
        <v>0</v>
      </c>
      <c r="M119">
        <v>0</v>
      </c>
      <c r="N119">
        <v>0</v>
      </c>
      <c r="O119">
        <v>0</v>
      </c>
      <c r="P119">
        <v>0</v>
      </c>
      <c r="Q119">
        <v>0</v>
      </c>
      <c r="R119" s="1" t="s">
        <v>212</v>
      </c>
      <c r="S119" s="1" t="s">
        <v>26</v>
      </c>
      <c r="T119" s="1" t="s">
        <v>27</v>
      </c>
      <c r="U119" s="1" t="s">
        <v>208</v>
      </c>
      <c r="V119" s="1" t="s">
        <v>208</v>
      </c>
    </row>
    <row r="120" spans="1:22" x14ac:dyDescent="0.3">
      <c r="A120" s="1" t="s">
        <v>405</v>
      </c>
      <c r="B120" s="1" t="s">
        <v>406</v>
      </c>
      <c r="C120" s="1" t="s">
        <v>407</v>
      </c>
      <c r="D120" s="1" t="s">
        <v>222</v>
      </c>
      <c r="E120" s="1" t="s">
        <v>408</v>
      </c>
      <c r="F120">
        <v>0</v>
      </c>
      <c r="G120">
        <v>120</v>
      </c>
      <c r="H120">
        <v>0</v>
      </c>
      <c r="I120">
        <v>0</v>
      </c>
      <c r="J120">
        <v>0</v>
      </c>
      <c r="K120">
        <v>0</v>
      </c>
      <c r="L120">
        <v>0</v>
      </c>
      <c r="M120">
        <v>108.29</v>
      </c>
      <c r="N120">
        <v>0</v>
      </c>
      <c r="O120">
        <v>0</v>
      </c>
      <c r="P120">
        <v>10720.71</v>
      </c>
      <c r="Q120">
        <v>10720.71</v>
      </c>
      <c r="R120" s="1" t="s">
        <v>201</v>
      </c>
      <c r="S120" s="1" t="s">
        <v>26</v>
      </c>
      <c r="T120" s="1" t="s">
        <v>27</v>
      </c>
      <c r="U120" s="1" t="s">
        <v>208</v>
      </c>
      <c r="V120" s="1" t="s">
        <v>208</v>
      </c>
    </row>
    <row r="121" spans="1:22" x14ac:dyDescent="0.3">
      <c r="A121" s="1" t="s">
        <v>405</v>
      </c>
      <c r="B121" s="1" t="s">
        <v>406</v>
      </c>
      <c r="C121" s="1" t="s">
        <v>407</v>
      </c>
      <c r="D121" s="1" t="s">
        <v>225</v>
      </c>
      <c r="E121" s="1" t="s">
        <v>409</v>
      </c>
      <c r="F121">
        <v>0</v>
      </c>
      <c r="G121">
        <v>120</v>
      </c>
      <c r="H121">
        <v>0</v>
      </c>
      <c r="I121">
        <v>0</v>
      </c>
      <c r="J121">
        <v>0</v>
      </c>
      <c r="K121">
        <v>0</v>
      </c>
      <c r="L121">
        <v>0</v>
      </c>
      <c r="M121">
        <v>106.62</v>
      </c>
      <c r="N121">
        <v>0</v>
      </c>
      <c r="O121">
        <v>0</v>
      </c>
      <c r="P121">
        <v>10555.38</v>
      </c>
      <c r="Q121">
        <v>10555.38</v>
      </c>
      <c r="R121" s="1" t="s">
        <v>201</v>
      </c>
      <c r="S121" s="1" t="s">
        <v>26</v>
      </c>
      <c r="T121" s="1" t="s">
        <v>27</v>
      </c>
      <c r="U121" s="1" t="s">
        <v>208</v>
      </c>
      <c r="V121" s="1" t="s">
        <v>208</v>
      </c>
    </row>
    <row r="122" spans="1:22" x14ac:dyDescent="0.3">
      <c r="A122" s="1" t="s">
        <v>405</v>
      </c>
      <c r="B122" s="1" t="s">
        <v>406</v>
      </c>
      <c r="C122" s="1" t="s">
        <v>407</v>
      </c>
      <c r="D122" s="1" t="s">
        <v>227</v>
      </c>
      <c r="E122" s="1" t="s">
        <v>410</v>
      </c>
      <c r="F122">
        <v>0</v>
      </c>
      <c r="G122">
        <v>40</v>
      </c>
      <c r="H122">
        <v>0</v>
      </c>
      <c r="I122">
        <v>0</v>
      </c>
      <c r="J122">
        <v>0</v>
      </c>
      <c r="K122">
        <v>0</v>
      </c>
      <c r="L122">
        <v>0</v>
      </c>
      <c r="M122">
        <v>0</v>
      </c>
      <c r="N122">
        <v>0</v>
      </c>
      <c r="O122">
        <v>0</v>
      </c>
      <c r="P122">
        <v>0</v>
      </c>
      <c r="Q122">
        <v>0</v>
      </c>
      <c r="R122" s="1" t="s">
        <v>201</v>
      </c>
      <c r="S122" s="1" t="s">
        <v>26</v>
      </c>
      <c r="T122" s="1" t="s">
        <v>27</v>
      </c>
      <c r="U122" s="1" t="s">
        <v>208</v>
      </c>
      <c r="V122" s="1" t="s">
        <v>208</v>
      </c>
    </row>
    <row r="123" spans="1:22" x14ac:dyDescent="0.3">
      <c r="A123" s="1" t="s">
        <v>405</v>
      </c>
      <c r="B123" s="1" t="s">
        <v>406</v>
      </c>
      <c r="C123" s="1" t="s">
        <v>407</v>
      </c>
      <c r="D123" s="1" t="s">
        <v>229</v>
      </c>
      <c r="E123" s="1" t="s">
        <v>36</v>
      </c>
      <c r="F123">
        <v>0</v>
      </c>
      <c r="G123">
        <v>120</v>
      </c>
      <c r="H123">
        <v>0</v>
      </c>
      <c r="I123">
        <v>0</v>
      </c>
      <c r="J123">
        <v>0</v>
      </c>
      <c r="K123">
        <v>0</v>
      </c>
      <c r="L123">
        <v>0</v>
      </c>
      <c r="M123">
        <v>0</v>
      </c>
      <c r="N123">
        <v>0</v>
      </c>
      <c r="O123">
        <v>0</v>
      </c>
      <c r="P123">
        <v>0</v>
      </c>
      <c r="Q123">
        <v>0</v>
      </c>
      <c r="R123" s="1" t="s">
        <v>212</v>
      </c>
      <c r="S123" s="1" t="s">
        <v>26</v>
      </c>
      <c r="T123" s="1" t="s">
        <v>27</v>
      </c>
      <c r="U123" s="1" t="s">
        <v>208</v>
      </c>
      <c r="V123" s="1" t="s">
        <v>208</v>
      </c>
    </row>
    <row r="124" spans="1:22" x14ac:dyDescent="0.3">
      <c r="A124" s="1" t="s">
        <v>405</v>
      </c>
      <c r="B124" s="1" t="s">
        <v>406</v>
      </c>
      <c r="C124" s="1" t="s">
        <v>407</v>
      </c>
      <c r="D124" s="1" t="s">
        <v>230</v>
      </c>
      <c r="E124" s="1" t="s">
        <v>37</v>
      </c>
      <c r="F124">
        <v>0</v>
      </c>
      <c r="G124">
        <v>32</v>
      </c>
      <c r="H124">
        <v>0</v>
      </c>
      <c r="I124">
        <v>0</v>
      </c>
      <c r="J124">
        <v>0</v>
      </c>
      <c r="K124">
        <v>0</v>
      </c>
      <c r="L124">
        <v>0</v>
      </c>
      <c r="M124">
        <v>60.53</v>
      </c>
      <c r="N124">
        <v>0</v>
      </c>
      <c r="O124">
        <v>0</v>
      </c>
      <c r="P124">
        <v>12408.65</v>
      </c>
      <c r="Q124">
        <v>12408.65</v>
      </c>
      <c r="R124" s="1" t="s">
        <v>212</v>
      </c>
      <c r="S124" s="1" t="s">
        <v>26</v>
      </c>
      <c r="T124" s="1" t="s">
        <v>27</v>
      </c>
      <c r="U124" s="1" t="s">
        <v>208</v>
      </c>
      <c r="V124" s="1" t="s">
        <v>208</v>
      </c>
    </row>
    <row r="125" spans="1:22" x14ac:dyDescent="0.3">
      <c r="A125" s="1" t="s">
        <v>405</v>
      </c>
      <c r="B125" s="1" t="s">
        <v>406</v>
      </c>
      <c r="C125" s="1" t="s">
        <v>407</v>
      </c>
      <c r="D125" s="1" t="s">
        <v>231</v>
      </c>
      <c r="E125" s="1" t="s">
        <v>232</v>
      </c>
      <c r="F125">
        <v>0</v>
      </c>
      <c r="G125">
        <v>8</v>
      </c>
      <c r="H125">
        <v>0</v>
      </c>
      <c r="I125">
        <v>0</v>
      </c>
      <c r="J125">
        <v>0</v>
      </c>
      <c r="K125">
        <v>0</v>
      </c>
      <c r="L125">
        <v>0</v>
      </c>
      <c r="M125">
        <v>0</v>
      </c>
      <c r="N125">
        <v>0</v>
      </c>
      <c r="O125">
        <v>0</v>
      </c>
      <c r="P125">
        <v>0</v>
      </c>
      <c r="Q125">
        <v>0</v>
      </c>
      <c r="R125" s="1" t="s">
        <v>212</v>
      </c>
      <c r="S125" s="1" t="s">
        <v>26</v>
      </c>
      <c r="T125" s="1" t="s">
        <v>27</v>
      </c>
      <c r="U125" s="1" t="s">
        <v>208</v>
      </c>
      <c r="V125" s="1" t="s">
        <v>208</v>
      </c>
    </row>
    <row r="126" spans="1:22" x14ac:dyDescent="0.3">
      <c r="A126" s="1" t="s">
        <v>405</v>
      </c>
      <c r="B126" s="1" t="s">
        <v>406</v>
      </c>
      <c r="C126" s="1" t="s">
        <v>407</v>
      </c>
      <c r="D126" s="1" t="s">
        <v>233</v>
      </c>
      <c r="E126" s="1" t="s">
        <v>38</v>
      </c>
      <c r="F126">
        <v>0</v>
      </c>
      <c r="G126">
        <v>48</v>
      </c>
      <c r="H126">
        <v>0</v>
      </c>
      <c r="I126">
        <v>0</v>
      </c>
      <c r="J126">
        <v>0</v>
      </c>
      <c r="K126">
        <v>0</v>
      </c>
      <c r="L126">
        <v>0</v>
      </c>
      <c r="M126">
        <v>0</v>
      </c>
      <c r="N126">
        <v>0</v>
      </c>
      <c r="O126">
        <v>0</v>
      </c>
      <c r="P126">
        <v>0</v>
      </c>
      <c r="Q126">
        <v>0</v>
      </c>
      <c r="R126" s="1" t="s">
        <v>212</v>
      </c>
      <c r="S126" s="1" t="s">
        <v>26</v>
      </c>
      <c r="T126" s="1" t="s">
        <v>27</v>
      </c>
      <c r="U126" s="1" t="s">
        <v>208</v>
      </c>
      <c r="V126" s="1" t="s">
        <v>208</v>
      </c>
    </row>
    <row r="127" spans="1:22" x14ac:dyDescent="0.3">
      <c r="A127" s="1" t="s">
        <v>405</v>
      </c>
      <c r="B127" s="1" t="s">
        <v>406</v>
      </c>
      <c r="C127" s="1" t="s">
        <v>407</v>
      </c>
      <c r="D127" s="1" t="s">
        <v>234</v>
      </c>
      <c r="E127" s="1" t="s">
        <v>235</v>
      </c>
      <c r="F127">
        <v>0</v>
      </c>
      <c r="G127">
        <v>8</v>
      </c>
      <c r="H127">
        <v>0</v>
      </c>
      <c r="I127">
        <v>0</v>
      </c>
      <c r="J127">
        <v>0</v>
      </c>
      <c r="K127">
        <v>0</v>
      </c>
      <c r="L127">
        <v>0</v>
      </c>
      <c r="M127">
        <v>0</v>
      </c>
      <c r="N127">
        <v>0</v>
      </c>
      <c r="O127">
        <v>0</v>
      </c>
      <c r="P127">
        <v>0</v>
      </c>
      <c r="Q127">
        <v>0</v>
      </c>
      <c r="R127" s="1" t="s">
        <v>212</v>
      </c>
      <c r="S127" s="1" t="s">
        <v>26</v>
      </c>
      <c r="T127" s="1" t="s">
        <v>27</v>
      </c>
      <c r="U127" s="1" t="s">
        <v>208</v>
      </c>
      <c r="V127" s="1" t="s">
        <v>208</v>
      </c>
    </row>
    <row r="128" spans="1:22" x14ac:dyDescent="0.3">
      <c r="A128" s="1" t="s">
        <v>405</v>
      </c>
      <c r="B128" s="1" t="s">
        <v>406</v>
      </c>
      <c r="C128" s="1" t="s">
        <v>407</v>
      </c>
      <c r="D128" s="1" t="s">
        <v>236</v>
      </c>
      <c r="E128" s="1" t="s">
        <v>237</v>
      </c>
      <c r="F128">
        <v>0</v>
      </c>
      <c r="G128">
        <v>16</v>
      </c>
      <c r="H128">
        <v>0</v>
      </c>
      <c r="I128">
        <v>0</v>
      </c>
      <c r="J128">
        <v>0</v>
      </c>
      <c r="K128">
        <v>0</v>
      </c>
      <c r="L128">
        <v>0</v>
      </c>
      <c r="M128">
        <v>0</v>
      </c>
      <c r="N128">
        <v>0</v>
      </c>
      <c r="O128">
        <v>0</v>
      </c>
      <c r="P128">
        <v>0</v>
      </c>
      <c r="Q128">
        <v>0</v>
      </c>
      <c r="R128" s="1" t="s">
        <v>212</v>
      </c>
      <c r="S128" s="1" t="s">
        <v>26</v>
      </c>
      <c r="T128" s="1" t="s">
        <v>27</v>
      </c>
      <c r="U128" s="1" t="s">
        <v>208</v>
      </c>
      <c r="V128" s="1" t="s">
        <v>208</v>
      </c>
    </row>
    <row r="129" spans="1:22" x14ac:dyDescent="0.3">
      <c r="A129" s="1" t="s">
        <v>405</v>
      </c>
      <c r="B129" s="1" t="s">
        <v>406</v>
      </c>
      <c r="C129" s="1" t="s">
        <v>407</v>
      </c>
      <c r="D129" s="1" t="s">
        <v>238</v>
      </c>
      <c r="E129" s="1" t="s">
        <v>239</v>
      </c>
      <c r="F129">
        <v>0</v>
      </c>
      <c r="G129">
        <v>24</v>
      </c>
      <c r="H129">
        <v>0</v>
      </c>
      <c r="I129">
        <v>0</v>
      </c>
      <c r="J129">
        <v>0</v>
      </c>
      <c r="K129">
        <v>0</v>
      </c>
      <c r="L129">
        <v>0</v>
      </c>
      <c r="M129">
        <v>0</v>
      </c>
      <c r="N129">
        <v>0</v>
      </c>
      <c r="O129">
        <v>0</v>
      </c>
      <c r="P129">
        <v>0</v>
      </c>
      <c r="Q129">
        <v>0</v>
      </c>
      <c r="R129" s="1" t="s">
        <v>212</v>
      </c>
      <c r="S129" s="1" t="s">
        <v>26</v>
      </c>
      <c r="T129" s="1" t="s">
        <v>27</v>
      </c>
      <c r="U129" s="1" t="s">
        <v>208</v>
      </c>
      <c r="V129" s="1" t="s">
        <v>208</v>
      </c>
    </row>
    <row r="130" spans="1:22" x14ac:dyDescent="0.3">
      <c r="A130" s="1" t="s">
        <v>405</v>
      </c>
      <c r="B130" s="1" t="s">
        <v>406</v>
      </c>
      <c r="C130" s="1" t="s">
        <v>407</v>
      </c>
      <c r="D130" s="1" t="s">
        <v>240</v>
      </c>
      <c r="E130" s="1" t="s">
        <v>241</v>
      </c>
      <c r="F130">
        <v>0</v>
      </c>
      <c r="G130">
        <v>4</v>
      </c>
      <c r="H130">
        <v>0</v>
      </c>
      <c r="I130">
        <v>0</v>
      </c>
      <c r="J130">
        <v>0</v>
      </c>
      <c r="K130">
        <v>0</v>
      </c>
      <c r="L130">
        <v>0</v>
      </c>
      <c r="M130">
        <v>0</v>
      </c>
      <c r="N130">
        <v>0</v>
      </c>
      <c r="O130">
        <v>0</v>
      </c>
      <c r="P130">
        <v>0</v>
      </c>
      <c r="Q130">
        <v>0</v>
      </c>
      <c r="R130" s="1" t="s">
        <v>212</v>
      </c>
      <c r="S130" s="1" t="s">
        <v>26</v>
      </c>
      <c r="T130" s="1" t="s">
        <v>27</v>
      </c>
      <c r="U130" s="1" t="s">
        <v>208</v>
      </c>
      <c r="V130" s="1" t="s">
        <v>208</v>
      </c>
    </row>
    <row r="131" spans="1:22" x14ac:dyDescent="0.3">
      <c r="A131" s="1" t="s">
        <v>405</v>
      </c>
      <c r="B131" s="1" t="s">
        <v>406</v>
      </c>
      <c r="C131" s="1" t="s">
        <v>407</v>
      </c>
      <c r="D131" s="1" t="s">
        <v>15</v>
      </c>
      <c r="E131" s="1" t="s">
        <v>242</v>
      </c>
      <c r="F131">
        <v>0</v>
      </c>
      <c r="G131">
        <v>400</v>
      </c>
      <c r="H131">
        <v>0</v>
      </c>
      <c r="I131">
        <v>0</v>
      </c>
      <c r="J131">
        <v>0</v>
      </c>
      <c r="K131">
        <v>0</v>
      </c>
      <c r="L131">
        <v>0</v>
      </c>
      <c r="M131">
        <v>0</v>
      </c>
      <c r="N131">
        <v>0</v>
      </c>
      <c r="O131">
        <v>0</v>
      </c>
      <c r="P131">
        <v>0</v>
      </c>
      <c r="Q131">
        <v>0</v>
      </c>
      <c r="R131" s="1" t="s">
        <v>243</v>
      </c>
      <c r="S131" s="1" t="s">
        <v>26</v>
      </c>
      <c r="T131" s="1" t="s">
        <v>27</v>
      </c>
      <c r="U131" s="1" t="s">
        <v>208</v>
      </c>
      <c r="V131" s="1" t="s">
        <v>208</v>
      </c>
    </row>
    <row r="132" spans="1:22" x14ac:dyDescent="0.3">
      <c r="A132" s="1" t="s">
        <v>405</v>
      </c>
      <c r="B132" s="1" t="s">
        <v>411</v>
      </c>
      <c r="C132" s="1" t="s">
        <v>412</v>
      </c>
      <c r="D132" s="1" t="s">
        <v>28</v>
      </c>
      <c r="E132" s="1" t="s">
        <v>29</v>
      </c>
      <c r="F132">
        <v>0</v>
      </c>
      <c r="G132">
        <v>0</v>
      </c>
      <c r="H132">
        <v>0</v>
      </c>
      <c r="I132">
        <v>0</v>
      </c>
      <c r="J132">
        <v>0</v>
      </c>
      <c r="K132">
        <v>0</v>
      </c>
      <c r="L132">
        <v>0</v>
      </c>
      <c r="M132">
        <v>48</v>
      </c>
      <c r="N132">
        <v>0</v>
      </c>
      <c r="O132">
        <v>0</v>
      </c>
      <c r="P132">
        <v>7032.01</v>
      </c>
      <c r="Q132">
        <v>7032.01</v>
      </c>
      <c r="R132" s="1" t="s">
        <v>260</v>
      </c>
      <c r="S132" s="1" t="s">
        <v>63</v>
      </c>
      <c r="T132" s="1" t="s">
        <v>64</v>
      </c>
      <c r="U132" s="1" t="s">
        <v>208</v>
      </c>
      <c r="V132" s="1"/>
    </row>
    <row r="138" spans="1:22" x14ac:dyDescent="0.3">
      <c r="J138" t="s">
        <v>65</v>
      </c>
      <c r="L138" t="s">
        <v>65</v>
      </c>
    </row>
    <row r="139" spans="1:22" x14ac:dyDescent="0.3">
      <c r="L139" t="s">
        <v>65</v>
      </c>
    </row>
    <row r="140" spans="1:22" x14ac:dyDescent="0.3">
      <c r="L140" t="s">
        <v>65</v>
      </c>
    </row>
    <row r="141" spans="1:22" x14ac:dyDescent="0.3">
      <c r="L141" t="s">
        <v>65</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B5024F-401C-4EED-BB08-C55208F2CB9A}">
  <sheetPr codeName="Sheet10"/>
  <dimension ref="A1:L52"/>
  <sheetViews>
    <sheetView workbookViewId="0">
      <selection activeCell="C13" sqref="C13"/>
    </sheetView>
  </sheetViews>
  <sheetFormatPr defaultRowHeight="14.4" x14ac:dyDescent="0.3"/>
  <cols>
    <col min="1" max="1" width="10.33203125" bestFit="1" customWidth="1"/>
    <col min="2" max="2" width="16.6640625" bestFit="1" customWidth="1"/>
    <col min="3" max="4" width="12" bestFit="1" customWidth="1"/>
    <col min="5" max="5" width="9" bestFit="1" customWidth="1"/>
    <col min="6" max="6" width="12" bestFit="1" customWidth="1"/>
    <col min="7" max="7" width="7.88671875" bestFit="1" customWidth="1"/>
    <col min="8" max="8" width="7.77734375" bestFit="1" customWidth="1"/>
    <col min="9" max="9" width="12" bestFit="1" customWidth="1"/>
    <col min="10" max="10" width="8.88671875" bestFit="1" customWidth="1"/>
    <col min="11" max="11" width="14.5546875" bestFit="1" customWidth="1"/>
    <col min="12" max="12" width="8.88671875" bestFit="1" customWidth="1"/>
    <col min="13" max="13" width="8.109375" bestFit="1" customWidth="1"/>
    <col min="14" max="14" width="8" bestFit="1" customWidth="1"/>
    <col min="15" max="15" width="12" bestFit="1" customWidth="1"/>
    <col min="16" max="16" width="9.109375" bestFit="1" customWidth="1"/>
    <col min="17" max="17" width="15.33203125" bestFit="1" customWidth="1"/>
    <col min="18" max="18" width="9.109375" bestFit="1" customWidth="1"/>
    <col min="19" max="19" width="18" bestFit="1" customWidth="1"/>
    <col min="20" max="20" width="34.44140625" bestFit="1" customWidth="1"/>
    <col min="21" max="21" width="11.44140625" bestFit="1" customWidth="1"/>
    <col min="22" max="22" width="10.44140625" bestFit="1" customWidth="1"/>
    <col min="23" max="23" width="13.33203125" bestFit="1" customWidth="1"/>
    <col min="24" max="24" width="15.6640625" bestFit="1" customWidth="1"/>
    <col min="25" max="25" width="16.6640625" bestFit="1" customWidth="1"/>
    <col min="26" max="28" width="12" bestFit="1" customWidth="1"/>
    <col min="29" max="29" width="9.109375" bestFit="1" customWidth="1"/>
    <col min="30" max="30" width="15.33203125" bestFit="1" customWidth="1"/>
    <col min="31" max="31" width="9.88671875" bestFit="1" customWidth="1"/>
    <col min="32" max="32" width="9.109375" bestFit="1" customWidth="1"/>
    <col min="33" max="35" width="12" bestFit="1" customWidth="1"/>
    <col min="37" max="37" width="15.33203125" bestFit="1" customWidth="1"/>
    <col min="38" max="38" width="9.88671875" bestFit="1" customWidth="1"/>
  </cols>
  <sheetData>
    <row r="1" spans="1:12" x14ac:dyDescent="0.3">
      <c r="A1" t="s">
        <v>69</v>
      </c>
      <c r="B1" t="s">
        <v>70</v>
      </c>
      <c r="C1" t="s">
        <v>71</v>
      </c>
      <c r="D1" t="s">
        <v>72</v>
      </c>
      <c r="E1" t="s">
        <v>73</v>
      </c>
      <c r="F1" t="s">
        <v>74</v>
      </c>
      <c r="G1" t="s">
        <v>75</v>
      </c>
      <c r="H1" t="s">
        <v>76</v>
      </c>
      <c r="I1" t="s">
        <v>77</v>
      </c>
      <c r="J1" t="s">
        <v>22</v>
      </c>
      <c r="K1" t="s">
        <v>23</v>
      </c>
      <c r="L1" t="s">
        <v>25</v>
      </c>
    </row>
    <row r="2" spans="1:12" x14ac:dyDescent="0.3">
      <c r="A2" s="1" t="s">
        <v>697</v>
      </c>
      <c r="B2" s="1" t="s">
        <v>678</v>
      </c>
      <c r="C2">
        <v>1394206.4051999999</v>
      </c>
      <c r="D2">
        <v>1394206.4051999999</v>
      </c>
      <c r="E2">
        <v>716.41</v>
      </c>
      <c r="F2">
        <v>1153669.9952</v>
      </c>
      <c r="G2">
        <v>0</v>
      </c>
      <c r="H2">
        <v>0</v>
      </c>
      <c r="I2">
        <v>1154386.4051999999</v>
      </c>
      <c r="J2" s="1" t="s">
        <v>26</v>
      </c>
      <c r="K2" s="1" t="s">
        <v>27</v>
      </c>
      <c r="L2" s="1" t="s">
        <v>208</v>
      </c>
    </row>
    <row r="3" spans="1:12" x14ac:dyDescent="0.3">
      <c r="A3" s="1" t="s">
        <v>697</v>
      </c>
      <c r="B3" s="1" t="s">
        <v>698</v>
      </c>
      <c r="C3">
        <v>0</v>
      </c>
      <c r="D3">
        <v>0</v>
      </c>
      <c r="E3">
        <v>0</v>
      </c>
      <c r="F3">
        <v>0</v>
      </c>
      <c r="G3">
        <v>0</v>
      </c>
      <c r="H3">
        <v>0</v>
      </c>
      <c r="I3">
        <v>0</v>
      </c>
      <c r="J3" s="1" t="s">
        <v>26</v>
      </c>
      <c r="K3" s="1" t="s">
        <v>27</v>
      </c>
      <c r="L3" s="1" t="s">
        <v>208</v>
      </c>
    </row>
    <row r="4" spans="1:12" x14ac:dyDescent="0.3">
      <c r="A4" s="1" t="s">
        <v>697</v>
      </c>
      <c r="B4" s="1" t="s">
        <v>699</v>
      </c>
      <c r="C4">
        <v>0</v>
      </c>
      <c r="D4">
        <v>0</v>
      </c>
      <c r="E4">
        <v>0</v>
      </c>
      <c r="F4">
        <v>0</v>
      </c>
      <c r="G4">
        <v>0</v>
      </c>
      <c r="H4">
        <v>0</v>
      </c>
      <c r="I4">
        <v>0</v>
      </c>
      <c r="J4" s="1" t="s">
        <v>26</v>
      </c>
      <c r="K4" s="1" t="s">
        <v>27</v>
      </c>
      <c r="L4" s="1" t="s">
        <v>208</v>
      </c>
    </row>
    <row r="5" spans="1:12" x14ac:dyDescent="0.3">
      <c r="A5" s="1" t="s">
        <v>697</v>
      </c>
      <c r="B5" s="1" t="s">
        <v>700</v>
      </c>
      <c r="C5">
        <v>0</v>
      </c>
      <c r="D5">
        <v>0</v>
      </c>
      <c r="E5">
        <v>0</v>
      </c>
      <c r="F5">
        <v>0</v>
      </c>
      <c r="G5">
        <v>0</v>
      </c>
      <c r="H5">
        <v>0</v>
      </c>
      <c r="I5">
        <v>0</v>
      </c>
      <c r="J5" s="1" t="s">
        <v>26</v>
      </c>
      <c r="K5" s="1" t="s">
        <v>27</v>
      </c>
      <c r="L5" s="1" t="s">
        <v>208</v>
      </c>
    </row>
    <row r="6" spans="1:12" x14ac:dyDescent="0.3">
      <c r="A6" s="1" t="s">
        <v>697</v>
      </c>
      <c r="B6" s="1" t="s">
        <v>701</v>
      </c>
      <c r="C6">
        <v>0</v>
      </c>
      <c r="D6">
        <v>0</v>
      </c>
      <c r="E6">
        <v>0</v>
      </c>
      <c r="F6">
        <v>0</v>
      </c>
      <c r="G6">
        <v>0</v>
      </c>
      <c r="H6">
        <v>0</v>
      </c>
      <c r="I6">
        <v>0</v>
      </c>
      <c r="J6" s="1" t="s">
        <v>26</v>
      </c>
      <c r="K6" s="1" t="s">
        <v>27</v>
      </c>
      <c r="L6" s="1" t="s">
        <v>208</v>
      </c>
    </row>
    <row r="7" spans="1:12" x14ac:dyDescent="0.3">
      <c r="A7" s="1" t="s">
        <v>697</v>
      </c>
      <c r="B7" s="1" t="s">
        <v>702</v>
      </c>
      <c r="C7">
        <v>0</v>
      </c>
      <c r="D7">
        <v>0</v>
      </c>
      <c r="E7">
        <v>0</v>
      </c>
      <c r="F7">
        <v>0</v>
      </c>
      <c r="G7">
        <v>0</v>
      </c>
      <c r="H7">
        <v>0</v>
      </c>
      <c r="I7">
        <v>0</v>
      </c>
      <c r="J7" s="1" t="s">
        <v>26</v>
      </c>
      <c r="K7" s="1" t="s">
        <v>27</v>
      </c>
      <c r="L7" s="1" t="s">
        <v>208</v>
      </c>
    </row>
    <row r="8" spans="1:12" x14ac:dyDescent="0.3">
      <c r="A8" s="1" t="s">
        <v>697</v>
      </c>
      <c r="B8" s="1" t="s">
        <v>703</v>
      </c>
      <c r="C8">
        <v>0</v>
      </c>
      <c r="D8">
        <v>0</v>
      </c>
      <c r="E8">
        <v>0</v>
      </c>
      <c r="F8">
        <v>0</v>
      </c>
      <c r="G8">
        <v>0</v>
      </c>
      <c r="H8">
        <v>0</v>
      </c>
      <c r="I8">
        <v>0</v>
      </c>
      <c r="J8" s="1" t="s">
        <v>26</v>
      </c>
      <c r="K8" s="1" t="s">
        <v>27</v>
      </c>
      <c r="L8" s="1" t="s">
        <v>208</v>
      </c>
    </row>
    <row r="9" spans="1:12" x14ac:dyDescent="0.3">
      <c r="A9" s="1" t="s">
        <v>697</v>
      </c>
      <c r="B9" s="1" t="s">
        <v>704</v>
      </c>
      <c r="C9">
        <v>38694.57</v>
      </c>
      <c r="D9">
        <v>38694.57</v>
      </c>
      <c r="E9">
        <v>36801.42</v>
      </c>
      <c r="F9">
        <v>1893.15</v>
      </c>
      <c r="G9">
        <v>0</v>
      </c>
      <c r="H9">
        <v>0</v>
      </c>
      <c r="I9">
        <v>38694.57</v>
      </c>
      <c r="J9" s="1" t="s">
        <v>26</v>
      </c>
      <c r="K9" s="1" t="s">
        <v>27</v>
      </c>
      <c r="L9" s="1" t="s">
        <v>208</v>
      </c>
    </row>
    <row r="10" spans="1:12" x14ac:dyDescent="0.3">
      <c r="A10" s="1" t="s">
        <v>697</v>
      </c>
      <c r="B10" s="1" t="s">
        <v>284</v>
      </c>
      <c r="C10">
        <v>0</v>
      </c>
      <c r="D10">
        <v>0</v>
      </c>
      <c r="E10">
        <v>0</v>
      </c>
      <c r="F10">
        <v>0</v>
      </c>
      <c r="G10">
        <v>0</v>
      </c>
      <c r="H10">
        <v>0</v>
      </c>
      <c r="I10">
        <v>0</v>
      </c>
      <c r="J10" s="1" t="s">
        <v>26</v>
      </c>
      <c r="K10" s="1" t="s">
        <v>27</v>
      </c>
      <c r="L10" s="1" t="s">
        <v>208</v>
      </c>
    </row>
    <row r="11" spans="1:12" x14ac:dyDescent="0.3">
      <c r="A11" s="1" t="s">
        <v>697</v>
      </c>
      <c r="B11" s="1" t="s">
        <v>285</v>
      </c>
      <c r="C11">
        <v>0</v>
      </c>
      <c r="D11">
        <v>0</v>
      </c>
      <c r="E11">
        <v>0</v>
      </c>
      <c r="F11">
        <v>0</v>
      </c>
      <c r="G11">
        <v>0</v>
      </c>
      <c r="H11">
        <v>0</v>
      </c>
      <c r="I11">
        <v>0</v>
      </c>
      <c r="J11" s="1" t="s">
        <v>26</v>
      </c>
      <c r="K11" s="1" t="s">
        <v>27</v>
      </c>
      <c r="L11" s="1" t="s">
        <v>208</v>
      </c>
    </row>
    <row r="12" spans="1:12" x14ac:dyDescent="0.3">
      <c r="A12" s="1" t="s">
        <v>697</v>
      </c>
      <c r="B12" s="1" t="s">
        <v>286</v>
      </c>
      <c r="C12">
        <v>0</v>
      </c>
      <c r="D12">
        <v>0</v>
      </c>
      <c r="E12">
        <v>0</v>
      </c>
      <c r="F12">
        <v>0</v>
      </c>
      <c r="G12">
        <v>0</v>
      </c>
      <c r="H12">
        <v>0</v>
      </c>
      <c r="I12">
        <v>0</v>
      </c>
      <c r="J12" s="1" t="s">
        <v>26</v>
      </c>
      <c r="K12" s="1" t="s">
        <v>27</v>
      </c>
      <c r="L12" s="1" t="s">
        <v>208</v>
      </c>
    </row>
    <row r="13" spans="1:12" x14ac:dyDescent="0.3">
      <c r="A13" s="1" t="s">
        <v>276</v>
      </c>
      <c r="B13" s="1" t="s">
        <v>204</v>
      </c>
      <c r="C13">
        <v>1374510.0652000001</v>
      </c>
      <c r="D13">
        <v>1374510.0652000001</v>
      </c>
      <c r="E13">
        <v>716.41</v>
      </c>
      <c r="F13">
        <v>1133973.6551999999</v>
      </c>
      <c r="G13">
        <v>0</v>
      </c>
      <c r="H13">
        <v>0</v>
      </c>
      <c r="I13">
        <v>1134690.0652000001</v>
      </c>
      <c r="J13" s="1" t="s">
        <v>26</v>
      </c>
      <c r="K13" s="1" t="s">
        <v>27</v>
      </c>
      <c r="L13" s="1" t="s">
        <v>208</v>
      </c>
    </row>
    <row r="14" spans="1:12" x14ac:dyDescent="0.3">
      <c r="A14" s="1" t="s">
        <v>276</v>
      </c>
      <c r="B14" s="1" t="s">
        <v>277</v>
      </c>
      <c r="C14">
        <v>0</v>
      </c>
      <c r="D14">
        <v>0</v>
      </c>
      <c r="E14">
        <v>0</v>
      </c>
      <c r="F14">
        <v>0</v>
      </c>
      <c r="G14">
        <v>0</v>
      </c>
      <c r="H14">
        <v>0</v>
      </c>
      <c r="I14">
        <v>0</v>
      </c>
      <c r="J14" s="1" t="s">
        <v>26</v>
      </c>
      <c r="K14" s="1" t="s">
        <v>27</v>
      </c>
      <c r="L14" s="1" t="s">
        <v>208</v>
      </c>
    </row>
    <row r="15" spans="1:12" x14ac:dyDescent="0.3">
      <c r="A15" s="1" t="s">
        <v>276</v>
      </c>
      <c r="B15" s="1" t="s">
        <v>278</v>
      </c>
      <c r="C15">
        <v>0</v>
      </c>
      <c r="D15">
        <v>0</v>
      </c>
      <c r="E15">
        <v>0</v>
      </c>
      <c r="F15">
        <v>0</v>
      </c>
      <c r="G15">
        <v>0</v>
      </c>
      <c r="H15">
        <v>0</v>
      </c>
      <c r="I15">
        <v>0</v>
      </c>
      <c r="J15" s="1" t="s">
        <v>26</v>
      </c>
      <c r="K15" s="1" t="s">
        <v>27</v>
      </c>
      <c r="L15" s="1" t="s">
        <v>208</v>
      </c>
    </row>
    <row r="16" spans="1:12" x14ac:dyDescent="0.3">
      <c r="A16" s="1" t="s">
        <v>276</v>
      </c>
      <c r="B16" s="1" t="s">
        <v>279</v>
      </c>
      <c r="C16">
        <v>0</v>
      </c>
      <c r="D16">
        <v>0</v>
      </c>
      <c r="E16">
        <v>0</v>
      </c>
      <c r="F16">
        <v>0</v>
      </c>
      <c r="G16">
        <v>0</v>
      </c>
      <c r="H16">
        <v>0</v>
      </c>
      <c r="I16">
        <v>0</v>
      </c>
      <c r="J16" s="1" t="s">
        <v>26</v>
      </c>
      <c r="K16" s="1" t="s">
        <v>27</v>
      </c>
      <c r="L16" s="1" t="s">
        <v>208</v>
      </c>
    </row>
    <row r="17" spans="1:12" x14ac:dyDescent="0.3">
      <c r="A17" s="1" t="s">
        <v>276</v>
      </c>
      <c r="B17" s="1" t="s">
        <v>280</v>
      </c>
      <c r="C17">
        <v>0</v>
      </c>
      <c r="D17">
        <v>0</v>
      </c>
      <c r="E17">
        <v>0</v>
      </c>
      <c r="F17">
        <v>0</v>
      </c>
      <c r="G17">
        <v>0</v>
      </c>
      <c r="H17">
        <v>0</v>
      </c>
      <c r="I17">
        <v>0</v>
      </c>
      <c r="J17" s="1" t="s">
        <v>26</v>
      </c>
      <c r="K17" s="1" t="s">
        <v>27</v>
      </c>
      <c r="L17" s="1" t="s">
        <v>208</v>
      </c>
    </row>
    <row r="18" spans="1:12" x14ac:dyDescent="0.3">
      <c r="A18" s="1" t="s">
        <v>276</v>
      </c>
      <c r="B18" s="1" t="s">
        <v>281</v>
      </c>
      <c r="C18">
        <v>0</v>
      </c>
      <c r="D18">
        <v>0</v>
      </c>
      <c r="E18">
        <v>0</v>
      </c>
      <c r="F18">
        <v>0</v>
      </c>
      <c r="G18">
        <v>0</v>
      </c>
      <c r="H18">
        <v>0</v>
      </c>
      <c r="I18">
        <v>0</v>
      </c>
      <c r="J18" s="1" t="s">
        <v>26</v>
      </c>
      <c r="K18" s="1" t="s">
        <v>27</v>
      </c>
      <c r="L18" s="1" t="s">
        <v>208</v>
      </c>
    </row>
    <row r="19" spans="1:12" x14ac:dyDescent="0.3">
      <c r="A19" s="1" t="s">
        <v>276</v>
      </c>
      <c r="B19" s="1" t="s">
        <v>282</v>
      </c>
      <c r="C19">
        <v>0</v>
      </c>
      <c r="D19">
        <v>0</v>
      </c>
      <c r="E19">
        <v>0</v>
      </c>
      <c r="F19">
        <v>0</v>
      </c>
      <c r="G19">
        <v>0</v>
      </c>
      <c r="H19">
        <v>0</v>
      </c>
      <c r="I19">
        <v>0</v>
      </c>
      <c r="J19" s="1" t="s">
        <v>26</v>
      </c>
      <c r="K19" s="1" t="s">
        <v>27</v>
      </c>
      <c r="L19" s="1" t="s">
        <v>208</v>
      </c>
    </row>
    <row r="20" spans="1:12" x14ac:dyDescent="0.3">
      <c r="A20" s="1" t="s">
        <v>276</v>
      </c>
      <c r="B20" s="1" t="s">
        <v>400</v>
      </c>
      <c r="C20">
        <v>24133.360000000001</v>
      </c>
      <c r="D20">
        <v>24133.360000000001</v>
      </c>
      <c r="E20">
        <v>23764.36</v>
      </c>
      <c r="F20">
        <v>369</v>
      </c>
      <c r="G20">
        <v>0</v>
      </c>
      <c r="H20">
        <v>0</v>
      </c>
      <c r="I20">
        <v>24133.360000000001</v>
      </c>
      <c r="J20" s="1" t="s">
        <v>26</v>
      </c>
      <c r="K20" s="1" t="s">
        <v>27</v>
      </c>
      <c r="L20" s="1" t="s">
        <v>208</v>
      </c>
    </row>
    <row r="21" spans="1:12" x14ac:dyDescent="0.3">
      <c r="A21" s="1" t="s">
        <v>276</v>
      </c>
      <c r="B21" s="1" t="s">
        <v>283</v>
      </c>
      <c r="C21">
        <v>4747.5</v>
      </c>
      <c r="D21">
        <v>4747.5</v>
      </c>
      <c r="E21">
        <v>3844.65</v>
      </c>
      <c r="F21">
        <v>902.85</v>
      </c>
      <c r="G21">
        <v>0</v>
      </c>
      <c r="H21">
        <v>0</v>
      </c>
      <c r="I21">
        <v>4747.5</v>
      </c>
      <c r="J21" s="1" t="s">
        <v>26</v>
      </c>
      <c r="K21" s="1" t="s">
        <v>27</v>
      </c>
      <c r="L21" s="1" t="s">
        <v>208</v>
      </c>
    </row>
    <row r="22" spans="1:12" x14ac:dyDescent="0.3">
      <c r="A22" s="1" t="s">
        <v>276</v>
      </c>
      <c r="B22" s="1" t="s">
        <v>284</v>
      </c>
      <c r="C22">
        <v>0</v>
      </c>
      <c r="D22">
        <v>0</v>
      </c>
      <c r="E22">
        <v>0</v>
      </c>
      <c r="F22">
        <v>0</v>
      </c>
      <c r="G22">
        <v>0</v>
      </c>
      <c r="H22">
        <v>0</v>
      </c>
      <c r="I22">
        <v>0</v>
      </c>
      <c r="J22" s="1" t="s">
        <v>26</v>
      </c>
      <c r="K22" s="1" t="s">
        <v>27</v>
      </c>
      <c r="L22" s="1" t="s">
        <v>208</v>
      </c>
    </row>
    <row r="23" spans="1:12" x14ac:dyDescent="0.3">
      <c r="A23" s="1" t="s">
        <v>276</v>
      </c>
      <c r="B23" s="1" t="s">
        <v>285</v>
      </c>
      <c r="C23">
        <v>0</v>
      </c>
      <c r="D23">
        <v>0</v>
      </c>
      <c r="E23">
        <v>0</v>
      </c>
      <c r="F23">
        <v>0</v>
      </c>
      <c r="G23">
        <v>0</v>
      </c>
      <c r="H23">
        <v>0</v>
      </c>
      <c r="I23">
        <v>0</v>
      </c>
      <c r="J23" s="1" t="s">
        <v>26</v>
      </c>
      <c r="K23" s="1" t="s">
        <v>27</v>
      </c>
      <c r="L23" s="1" t="s">
        <v>208</v>
      </c>
    </row>
    <row r="24" spans="1:12" x14ac:dyDescent="0.3">
      <c r="A24" s="1" t="s">
        <v>276</v>
      </c>
      <c r="B24" s="1" t="s">
        <v>286</v>
      </c>
      <c r="C24">
        <v>0</v>
      </c>
      <c r="D24">
        <v>0</v>
      </c>
      <c r="E24">
        <v>0</v>
      </c>
      <c r="F24">
        <v>0</v>
      </c>
      <c r="G24">
        <v>0</v>
      </c>
      <c r="H24">
        <v>0</v>
      </c>
      <c r="I24">
        <v>0</v>
      </c>
      <c r="J24" s="1" t="s">
        <v>26</v>
      </c>
      <c r="K24" s="1" t="s">
        <v>27</v>
      </c>
      <c r="L24" s="1" t="s">
        <v>208</v>
      </c>
    </row>
    <row r="25" spans="1:12" x14ac:dyDescent="0.3">
      <c r="A25" s="1" t="s">
        <v>705</v>
      </c>
      <c r="B25" s="1" t="s">
        <v>690</v>
      </c>
      <c r="C25">
        <v>1133973.6551999999</v>
      </c>
      <c r="D25">
        <v>1133973.6551999999</v>
      </c>
      <c r="E25">
        <v>0</v>
      </c>
      <c r="F25">
        <v>1133973.6551999999</v>
      </c>
      <c r="G25">
        <v>0</v>
      </c>
      <c r="H25">
        <v>0</v>
      </c>
      <c r="I25">
        <v>1133973.6551999999</v>
      </c>
      <c r="J25" s="1" t="s">
        <v>26</v>
      </c>
      <c r="K25" s="1" t="s">
        <v>27</v>
      </c>
      <c r="L25" s="1" t="s">
        <v>208</v>
      </c>
    </row>
    <row r="26" spans="1:12" x14ac:dyDescent="0.3">
      <c r="A26" s="1" t="s">
        <v>705</v>
      </c>
      <c r="B26" s="1" t="s">
        <v>706</v>
      </c>
      <c r="C26">
        <v>0</v>
      </c>
      <c r="D26">
        <v>0</v>
      </c>
      <c r="E26">
        <v>0</v>
      </c>
      <c r="F26">
        <v>0</v>
      </c>
      <c r="G26">
        <v>0</v>
      </c>
      <c r="H26">
        <v>0</v>
      </c>
      <c r="I26">
        <v>0</v>
      </c>
      <c r="J26" s="1" t="s">
        <v>26</v>
      </c>
      <c r="K26" s="1" t="s">
        <v>27</v>
      </c>
      <c r="L26" s="1" t="s">
        <v>208</v>
      </c>
    </row>
    <row r="27" spans="1:12" x14ac:dyDescent="0.3">
      <c r="A27" s="1" t="s">
        <v>705</v>
      </c>
      <c r="B27" s="1" t="s">
        <v>707</v>
      </c>
      <c r="C27">
        <v>0</v>
      </c>
      <c r="D27">
        <v>0</v>
      </c>
      <c r="E27">
        <v>0</v>
      </c>
      <c r="F27">
        <v>0</v>
      </c>
      <c r="G27">
        <v>0</v>
      </c>
      <c r="H27">
        <v>0</v>
      </c>
      <c r="I27">
        <v>0</v>
      </c>
      <c r="J27" s="1" t="s">
        <v>26</v>
      </c>
      <c r="K27" s="1" t="s">
        <v>27</v>
      </c>
      <c r="L27" s="1" t="s">
        <v>208</v>
      </c>
    </row>
    <row r="28" spans="1:12" x14ac:dyDescent="0.3">
      <c r="A28" s="1" t="s">
        <v>705</v>
      </c>
      <c r="B28" s="1" t="s">
        <v>708</v>
      </c>
      <c r="C28">
        <v>0</v>
      </c>
      <c r="D28">
        <v>0</v>
      </c>
      <c r="E28">
        <v>0</v>
      </c>
      <c r="F28">
        <v>0</v>
      </c>
      <c r="G28">
        <v>0</v>
      </c>
      <c r="H28">
        <v>0</v>
      </c>
      <c r="I28">
        <v>0</v>
      </c>
      <c r="J28" s="1" t="s">
        <v>26</v>
      </c>
      <c r="K28" s="1" t="s">
        <v>27</v>
      </c>
      <c r="L28" s="1" t="s">
        <v>208</v>
      </c>
    </row>
    <row r="29" spans="1:12" x14ac:dyDescent="0.3">
      <c r="A29" s="1" t="s">
        <v>705</v>
      </c>
      <c r="B29" s="1" t="s">
        <v>709</v>
      </c>
      <c r="C29">
        <v>0</v>
      </c>
      <c r="D29">
        <v>0</v>
      </c>
      <c r="E29">
        <v>0</v>
      </c>
      <c r="F29">
        <v>0</v>
      </c>
      <c r="G29">
        <v>0</v>
      </c>
      <c r="H29">
        <v>0</v>
      </c>
      <c r="I29">
        <v>0</v>
      </c>
      <c r="J29" s="1" t="s">
        <v>26</v>
      </c>
      <c r="K29" s="1" t="s">
        <v>27</v>
      </c>
      <c r="L29" s="1" t="s">
        <v>208</v>
      </c>
    </row>
    <row r="30" spans="1:12" x14ac:dyDescent="0.3">
      <c r="A30" s="1" t="s">
        <v>705</v>
      </c>
      <c r="B30" s="1" t="s">
        <v>710</v>
      </c>
      <c r="C30">
        <v>4747.5</v>
      </c>
      <c r="D30">
        <v>4747.5</v>
      </c>
      <c r="E30">
        <v>3844.65</v>
      </c>
      <c r="F30">
        <v>902.85</v>
      </c>
      <c r="G30">
        <v>0</v>
      </c>
      <c r="H30">
        <v>0</v>
      </c>
      <c r="I30">
        <v>4747.5</v>
      </c>
      <c r="J30" s="1" t="s">
        <v>63</v>
      </c>
      <c r="K30" s="1" t="s">
        <v>64</v>
      </c>
      <c r="L30" s="1" t="s">
        <v>208</v>
      </c>
    </row>
    <row r="31" spans="1:12" x14ac:dyDescent="0.3">
      <c r="A31" s="1" t="s">
        <v>705</v>
      </c>
      <c r="B31" s="1" t="s">
        <v>711</v>
      </c>
      <c r="C31">
        <v>0</v>
      </c>
      <c r="D31">
        <v>0</v>
      </c>
      <c r="E31">
        <v>0</v>
      </c>
      <c r="F31">
        <v>0</v>
      </c>
      <c r="G31">
        <v>0</v>
      </c>
      <c r="H31">
        <v>0</v>
      </c>
      <c r="I31">
        <v>0</v>
      </c>
      <c r="J31" s="1" t="s">
        <v>26</v>
      </c>
      <c r="K31" s="1" t="s">
        <v>27</v>
      </c>
      <c r="L31" s="1" t="s">
        <v>208</v>
      </c>
    </row>
    <row r="32" spans="1:12" x14ac:dyDescent="0.3">
      <c r="A32" s="1" t="s">
        <v>705</v>
      </c>
      <c r="B32" s="1" t="s">
        <v>712</v>
      </c>
      <c r="C32">
        <v>0</v>
      </c>
      <c r="D32">
        <v>0</v>
      </c>
      <c r="E32">
        <v>0</v>
      </c>
      <c r="F32">
        <v>0</v>
      </c>
      <c r="G32">
        <v>0</v>
      </c>
      <c r="H32">
        <v>0</v>
      </c>
      <c r="I32">
        <v>0</v>
      </c>
      <c r="J32" s="1" t="s">
        <v>63</v>
      </c>
      <c r="K32" s="1" t="s">
        <v>64</v>
      </c>
      <c r="L32" s="1" t="s">
        <v>208</v>
      </c>
    </row>
    <row r="33" spans="1:12" x14ac:dyDescent="0.3">
      <c r="A33" s="1" t="s">
        <v>705</v>
      </c>
      <c r="B33" s="1" t="s">
        <v>284</v>
      </c>
      <c r="C33">
        <v>0</v>
      </c>
      <c r="D33">
        <v>0</v>
      </c>
      <c r="E33">
        <v>0</v>
      </c>
      <c r="F33">
        <v>0</v>
      </c>
      <c r="G33">
        <v>0</v>
      </c>
      <c r="H33">
        <v>0</v>
      </c>
      <c r="I33">
        <v>0</v>
      </c>
      <c r="J33" s="1" t="s">
        <v>26</v>
      </c>
      <c r="K33" s="1" t="s">
        <v>27</v>
      </c>
      <c r="L33" s="1" t="s">
        <v>208</v>
      </c>
    </row>
    <row r="34" spans="1:12" x14ac:dyDescent="0.3">
      <c r="A34" s="1" t="s">
        <v>705</v>
      </c>
      <c r="B34" s="1" t="s">
        <v>285</v>
      </c>
      <c r="C34">
        <v>0</v>
      </c>
      <c r="D34">
        <v>0</v>
      </c>
      <c r="E34">
        <v>0</v>
      </c>
      <c r="F34">
        <v>0</v>
      </c>
      <c r="G34">
        <v>0</v>
      </c>
      <c r="H34">
        <v>0</v>
      </c>
      <c r="I34">
        <v>0</v>
      </c>
      <c r="J34" s="1" t="s">
        <v>26</v>
      </c>
      <c r="K34" s="1" t="s">
        <v>27</v>
      </c>
      <c r="L34" s="1" t="s">
        <v>208</v>
      </c>
    </row>
    <row r="35" spans="1:12" x14ac:dyDescent="0.3">
      <c r="A35" s="1" t="s">
        <v>705</v>
      </c>
      <c r="B35" s="1" t="s">
        <v>286</v>
      </c>
      <c r="C35">
        <v>0</v>
      </c>
      <c r="D35">
        <v>0</v>
      </c>
      <c r="E35">
        <v>0</v>
      </c>
      <c r="F35">
        <v>0</v>
      </c>
      <c r="G35">
        <v>0</v>
      </c>
      <c r="H35">
        <v>0</v>
      </c>
      <c r="I35">
        <v>0</v>
      </c>
      <c r="J35" s="1" t="s">
        <v>26</v>
      </c>
      <c r="K35" s="1" t="s">
        <v>27</v>
      </c>
      <c r="L35" s="1" t="s">
        <v>208</v>
      </c>
    </row>
    <row r="36" spans="1:12" x14ac:dyDescent="0.3">
      <c r="A36" s="1" t="s">
        <v>413</v>
      </c>
      <c r="B36" s="1" t="s">
        <v>407</v>
      </c>
      <c r="C36">
        <v>786486.36034999997</v>
      </c>
      <c r="D36">
        <v>786486.36034999997</v>
      </c>
      <c r="E36">
        <v>0</v>
      </c>
      <c r="F36">
        <v>602586.36034999997</v>
      </c>
      <c r="G36">
        <v>0</v>
      </c>
      <c r="H36">
        <v>0</v>
      </c>
      <c r="I36">
        <v>602586.36034999997</v>
      </c>
      <c r="J36" s="1" t="s">
        <v>26</v>
      </c>
      <c r="K36" s="1" t="s">
        <v>27</v>
      </c>
      <c r="L36" s="1" t="s">
        <v>208</v>
      </c>
    </row>
    <row r="37" spans="1:12" x14ac:dyDescent="0.3">
      <c r="A37" s="1" t="s">
        <v>413</v>
      </c>
      <c r="B37" s="1" t="s">
        <v>414</v>
      </c>
      <c r="C37">
        <v>0</v>
      </c>
      <c r="D37">
        <v>0</v>
      </c>
      <c r="E37">
        <v>0</v>
      </c>
      <c r="F37">
        <v>0</v>
      </c>
      <c r="G37">
        <v>0</v>
      </c>
      <c r="H37">
        <v>0</v>
      </c>
      <c r="I37">
        <v>0</v>
      </c>
      <c r="J37" s="1" t="s">
        <v>26</v>
      </c>
      <c r="K37" s="1" t="s">
        <v>27</v>
      </c>
      <c r="L37" s="1" t="s">
        <v>208</v>
      </c>
    </row>
    <row r="38" spans="1:12" x14ac:dyDescent="0.3">
      <c r="A38" s="1" t="s">
        <v>413</v>
      </c>
      <c r="B38" s="1" t="s">
        <v>415</v>
      </c>
      <c r="C38">
        <v>0</v>
      </c>
      <c r="D38">
        <v>0</v>
      </c>
      <c r="E38">
        <v>0</v>
      </c>
      <c r="F38">
        <v>0</v>
      </c>
      <c r="G38">
        <v>0</v>
      </c>
      <c r="H38">
        <v>0</v>
      </c>
      <c r="I38">
        <v>0</v>
      </c>
      <c r="J38" s="1" t="s">
        <v>26</v>
      </c>
      <c r="K38" s="1" t="s">
        <v>27</v>
      </c>
      <c r="L38" s="1" t="s">
        <v>208</v>
      </c>
    </row>
    <row r="39" spans="1:12" x14ac:dyDescent="0.3">
      <c r="A39" s="1" t="s">
        <v>413</v>
      </c>
      <c r="B39" s="1" t="s">
        <v>416</v>
      </c>
      <c r="C39">
        <v>0</v>
      </c>
      <c r="D39">
        <v>0</v>
      </c>
      <c r="E39">
        <v>0</v>
      </c>
      <c r="F39">
        <v>0</v>
      </c>
      <c r="G39">
        <v>0</v>
      </c>
      <c r="H39">
        <v>0</v>
      </c>
      <c r="I39">
        <v>0</v>
      </c>
      <c r="J39" s="1" t="s">
        <v>26</v>
      </c>
      <c r="K39" s="1" t="s">
        <v>27</v>
      </c>
      <c r="L39" s="1" t="s">
        <v>208</v>
      </c>
    </row>
    <row r="40" spans="1:12" x14ac:dyDescent="0.3">
      <c r="A40" s="1" t="s">
        <v>413</v>
      </c>
      <c r="B40" s="1" t="s">
        <v>417</v>
      </c>
      <c r="C40">
        <v>0</v>
      </c>
      <c r="D40">
        <v>0</v>
      </c>
      <c r="E40">
        <v>0</v>
      </c>
      <c r="F40">
        <v>0</v>
      </c>
      <c r="G40">
        <v>0</v>
      </c>
      <c r="H40">
        <v>0</v>
      </c>
      <c r="I40">
        <v>0</v>
      </c>
      <c r="J40" s="1" t="s">
        <v>26</v>
      </c>
      <c r="K40" s="1" t="s">
        <v>27</v>
      </c>
      <c r="L40" s="1" t="s">
        <v>208</v>
      </c>
    </row>
    <row r="41" spans="1:12" x14ac:dyDescent="0.3">
      <c r="A41" s="1" t="s">
        <v>413</v>
      </c>
      <c r="B41" s="1" t="s">
        <v>418</v>
      </c>
      <c r="C41">
        <v>0</v>
      </c>
      <c r="D41">
        <v>0</v>
      </c>
      <c r="E41">
        <v>0</v>
      </c>
      <c r="F41">
        <v>0</v>
      </c>
      <c r="G41">
        <v>0</v>
      </c>
      <c r="H41">
        <v>0</v>
      </c>
      <c r="I41">
        <v>0</v>
      </c>
      <c r="J41" s="1" t="s">
        <v>26</v>
      </c>
      <c r="K41" s="1" t="s">
        <v>27</v>
      </c>
      <c r="L41" s="1" t="s">
        <v>208</v>
      </c>
    </row>
    <row r="42" spans="1:12" x14ac:dyDescent="0.3">
      <c r="A42" s="1" t="s">
        <v>713</v>
      </c>
      <c r="B42" s="1" t="s">
        <v>274</v>
      </c>
      <c r="C42">
        <v>106158.28821</v>
      </c>
      <c r="D42">
        <v>106158.28821</v>
      </c>
      <c r="E42">
        <v>675.69</v>
      </c>
      <c r="F42">
        <v>63394.598209999996</v>
      </c>
      <c r="G42">
        <v>0</v>
      </c>
      <c r="H42">
        <v>0</v>
      </c>
      <c r="I42">
        <v>64070.288209999999</v>
      </c>
      <c r="J42" s="1" t="s">
        <v>26</v>
      </c>
      <c r="K42" s="1" t="s">
        <v>27</v>
      </c>
      <c r="L42" s="1" t="s">
        <v>208</v>
      </c>
    </row>
    <row r="43" spans="1:12" x14ac:dyDescent="0.3">
      <c r="A43" s="1" t="s">
        <v>713</v>
      </c>
      <c r="B43" s="1" t="s">
        <v>714</v>
      </c>
      <c r="C43">
        <v>0</v>
      </c>
      <c r="D43">
        <v>0</v>
      </c>
      <c r="E43">
        <v>0</v>
      </c>
      <c r="F43">
        <v>0</v>
      </c>
      <c r="G43">
        <v>0</v>
      </c>
      <c r="H43">
        <v>0</v>
      </c>
      <c r="I43">
        <v>0</v>
      </c>
      <c r="J43" s="1" t="s">
        <v>26</v>
      </c>
      <c r="K43" s="1" t="s">
        <v>27</v>
      </c>
      <c r="L43" s="1" t="s">
        <v>208</v>
      </c>
    </row>
    <row r="44" spans="1:12" x14ac:dyDescent="0.3">
      <c r="A44" s="1" t="s">
        <v>713</v>
      </c>
      <c r="B44" s="1" t="s">
        <v>715</v>
      </c>
      <c r="C44">
        <v>0</v>
      </c>
      <c r="D44">
        <v>0</v>
      </c>
      <c r="E44">
        <v>0</v>
      </c>
      <c r="F44">
        <v>0</v>
      </c>
      <c r="G44">
        <v>0</v>
      </c>
      <c r="H44">
        <v>0</v>
      </c>
      <c r="I44">
        <v>0</v>
      </c>
      <c r="J44" s="1" t="s">
        <v>26</v>
      </c>
      <c r="K44" s="1" t="s">
        <v>27</v>
      </c>
      <c r="L44" s="1" t="s">
        <v>208</v>
      </c>
    </row>
    <row r="45" spans="1:12" x14ac:dyDescent="0.3">
      <c r="A45" s="1" t="s">
        <v>713</v>
      </c>
      <c r="B45" s="1" t="s">
        <v>864</v>
      </c>
      <c r="C45">
        <v>0</v>
      </c>
      <c r="D45">
        <v>0</v>
      </c>
      <c r="E45">
        <v>0</v>
      </c>
      <c r="F45">
        <v>0</v>
      </c>
      <c r="G45">
        <v>0</v>
      </c>
      <c r="H45">
        <v>0</v>
      </c>
      <c r="I45">
        <v>0</v>
      </c>
      <c r="J45" s="1" t="s">
        <v>26</v>
      </c>
      <c r="K45" s="1" t="s">
        <v>27</v>
      </c>
      <c r="L45" s="1" t="s">
        <v>208</v>
      </c>
    </row>
    <row r="46" spans="1:12" x14ac:dyDescent="0.3">
      <c r="A46" s="1" t="s">
        <v>713</v>
      </c>
      <c r="B46" s="1" t="s">
        <v>716</v>
      </c>
      <c r="C46">
        <v>122.25586</v>
      </c>
      <c r="D46">
        <v>122.25586</v>
      </c>
      <c r="E46">
        <v>113.79</v>
      </c>
      <c r="F46">
        <v>8.4658599999999993</v>
      </c>
      <c r="G46">
        <v>0</v>
      </c>
      <c r="H46">
        <v>0</v>
      </c>
      <c r="I46">
        <v>122.25586</v>
      </c>
      <c r="J46" s="1" t="s">
        <v>63</v>
      </c>
      <c r="K46" s="1" t="s">
        <v>64</v>
      </c>
      <c r="L46" s="1" t="s">
        <v>208</v>
      </c>
    </row>
    <row r="47" spans="1:12" x14ac:dyDescent="0.3">
      <c r="A47" s="1" t="s">
        <v>717</v>
      </c>
      <c r="B47" s="1" t="s">
        <v>275</v>
      </c>
      <c r="C47">
        <v>61862.733800000002</v>
      </c>
      <c r="D47">
        <v>61862.733800000002</v>
      </c>
      <c r="E47">
        <v>0</v>
      </c>
      <c r="F47">
        <v>19774.733800000002</v>
      </c>
      <c r="G47">
        <v>0</v>
      </c>
      <c r="H47">
        <v>0</v>
      </c>
      <c r="I47">
        <v>19774.733800000002</v>
      </c>
      <c r="J47" s="1" t="s">
        <v>26</v>
      </c>
      <c r="K47" s="1" t="s">
        <v>27</v>
      </c>
      <c r="L47" s="1" t="s">
        <v>208</v>
      </c>
    </row>
    <row r="48" spans="1:12" x14ac:dyDescent="0.3">
      <c r="A48" s="1" t="s">
        <v>717</v>
      </c>
      <c r="B48" s="1" t="s">
        <v>718</v>
      </c>
      <c r="C48">
        <v>0</v>
      </c>
      <c r="D48">
        <v>0</v>
      </c>
      <c r="E48">
        <v>0</v>
      </c>
      <c r="F48">
        <v>0</v>
      </c>
      <c r="G48">
        <v>0</v>
      </c>
      <c r="H48">
        <v>0</v>
      </c>
      <c r="I48">
        <v>0</v>
      </c>
      <c r="J48" s="1" t="s">
        <v>26</v>
      </c>
      <c r="K48" s="1" t="s">
        <v>27</v>
      </c>
      <c r="L48" s="1" t="s">
        <v>208</v>
      </c>
    </row>
    <row r="49" spans="1:12" x14ac:dyDescent="0.3">
      <c r="A49" s="1" t="s">
        <v>717</v>
      </c>
      <c r="B49" s="1" t="s">
        <v>719</v>
      </c>
      <c r="C49">
        <v>0</v>
      </c>
      <c r="D49">
        <v>0</v>
      </c>
      <c r="E49">
        <v>0</v>
      </c>
      <c r="F49">
        <v>0</v>
      </c>
      <c r="G49">
        <v>0</v>
      </c>
      <c r="H49">
        <v>0</v>
      </c>
      <c r="I49">
        <v>0</v>
      </c>
      <c r="J49" s="1" t="s">
        <v>26</v>
      </c>
      <c r="K49" s="1" t="s">
        <v>27</v>
      </c>
      <c r="L49" s="1" t="s">
        <v>208</v>
      </c>
    </row>
    <row r="50" spans="1:12" x14ac:dyDescent="0.3">
      <c r="A50" s="1" t="s">
        <v>717</v>
      </c>
      <c r="B50" s="1" t="s">
        <v>720</v>
      </c>
      <c r="C50">
        <v>0</v>
      </c>
      <c r="D50">
        <v>0</v>
      </c>
      <c r="E50">
        <v>0</v>
      </c>
      <c r="F50">
        <v>0</v>
      </c>
      <c r="G50">
        <v>0</v>
      </c>
      <c r="H50">
        <v>0</v>
      </c>
      <c r="I50">
        <v>0</v>
      </c>
      <c r="J50" s="1" t="s">
        <v>26</v>
      </c>
      <c r="K50" s="1" t="s">
        <v>27</v>
      </c>
      <c r="L50" s="1" t="s">
        <v>208</v>
      </c>
    </row>
    <row r="51" spans="1:12" x14ac:dyDescent="0.3">
      <c r="A51" s="1" t="s">
        <v>717</v>
      </c>
      <c r="B51" s="1" t="s">
        <v>721</v>
      </c>
      <c r="C51">
        <v>363.83100000000002</v>
      </c>
      <c r="D51">
        <v>18191.55</v>
      </c>
      <c r="E51">
        <v>301.55099999999999</v>
      </c>
      <c r="F51">
        <v>62.28</v>
      </c>
      <c r="G51">
        <v>0</v>
      </c>
      <c r="H51">
        <v>0</v>
      </c>
      <c r="I51">
        <v>18191.55</v>
      </c>
      <c r="J51" s="1" t="s">
        <v>63</v>
      </c>
      <c r="K51" s="1" t="s">
        <v>64</v>
      </c>
      <c r="L51" s="1" t="s">
        <v>208</v>
      </c>
    </row>
    <row r="52" spans="1:12" x14ac:dyDescent="0.3">
      <c r="A52" s="1" t="s">
        <v>717</v>
      </c>
      <c r="B52" s="1" t="s">
        <v>722</v>
      </c>
      <c r="C52">
        <v>0</v>
      </c>
      <c r="D52">
        <v>0</v>
      </c>
      <c r="E52">
        <v>0</v>
      </c>
      <c r="F52">
        <v>0</v>
      </c>
      <c r="G52">
        <v>0</v>
      </c>
      <c r="H52">
        <v>0</v>
      </c>
      <c r="I52">
        <v>0</v>
      </c>
      <c r="J52" s="1" t="s">
        <v>26</v>
      </c>
      <c r="K52" s="1" t="s">
        <v>27</v>
      </c>
      <c r="L52" s="1" t="s">
        <v>208</v>
      </c>
    </row>
  </sheetData>
  <phoneticPr fontId="3"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CD982-5DDA-491C-8B0F-3690E7289E5F}">
  <sheetPr codeName="Sheet8"/>
  <dimension ref="A1:Q171"/>
  <sheetViews>
    <sheetView workbookViewId="0">
      <selection activeCell="E216" sqref="E216"/>
    </sheetView>
  </sheetViews>
  <sheetFormatPr defaultRowHeight="14.4" x14ac:dyDescent="0.3"/>
  <cols>
    <col min="1" max="1" width="9.6640625" bestFit="1" customWidth="1"/>
    <col min="2" max="2" width="9.5546875" bestFit="1" customWidth="1"/>
    <col min="3" max="3" width="13.6640625" bestFit="1" customWidth="1"/>
    <col min="4" max="4" width="16.77734375" bestFit="1" customWidth="1"/>
    <col min="5" max="5" width="32.21875" bestFit="1" customWidth="1"/>
    <col min="6" max="6" width="11" bestFit="1" customWidth="1"/>
    <col min="7" max="7" width="10.109375" bestFit="1" customWidth="1"/>
    <col min="8" max="8" width="12.88671875" bestFit="1" customWidth="1"/>
    <col min="9" max="9" width="15.33203125" bestFit="1" customWidth="1"/>
    <col min="10" max="10" width="16.21875" bestFit="1" customWidth="1"/>
    <col min="11" max="13" width="12" bestFit="1" customWidth="1"/>
    <col min="14" max="14" width="8.88671875" bestFit="1" customWidth="1"/>
    <col min="15" max="15" width="14.5546875" bestFit="1" customWidth="1"/>
    <col min="16" max="16" width="9.5546875" bestFit="1" customWidth="1"/>
    <col min="17" max="17" width="8.88671875" bestFit="1" customWidth="1"/>
    <col min="18" max="20" width="12" bestFit="1" customWidth="1"/>
    <col min="22" max="22" width="15.33203125" bestFit="1" customWidth="1"/>
    <col min="23" max="23" width="9.88671875" bestFit="1" customWidth="1"/>
  </cols>
  <sheetData>
    <row r="1" spans="1:17" x14ac:dyDescent="0.3">
      <c r="A1" t="s">
        <v>2</v>
      </c>
      <c r="B1" t="s">
        <v>3</v>
      </c>
      <c r="C1" t="s">
        <v>4</v>
      </c>
      <c r="D1" t="s">
        <v>55</v>
      </c>
      <c r="E1" t="s">
        <v>56</v>
      </c>
      <c r="F1" t="s">
        <v>57</v>
      </c>
      <c r="G1" t="s">
        <v>58</v>
      </c>
      <c r="H1" t="s">
        <v>59</v>
      </c>
      <c r="I1" t="s">
        <v>60</v>
      </c>
      <c r="J1" t="s">
        <v>61</v>
      </c>
      <c r="K1" t="s">
        <v>47</v>
      </c>
      <c r="L1" t="s">
        <v>48</v>
      </c>
      <c r="M1" t="s">
        <v>49</v>
      </c>
      <c r="N1" t="s">
        <v>22</v>
      </c>
      <c r="O1" t="s">
        <v>23</v>
      </c>
      <c r="P1" t="s">
        <v>24</v>
      </c>
      <c r="Q1" t="s">
        <v>25</v>
      </c>
    </row>
    <row r="2" spans="1:17" hidden="1" x14ac:dyDescent="0.3">
      <c r="A2" s="1" t="s">
        <v>676</v>
      </c>
      <c r="B2" s="1" t="s">
        <v>677</v>
      </c>
      <c r="C2" s="1" t="s">
        <v>678</v>
      </c>
      <c r="D2" s="1" t="s">
        <v>337</v>
      </c>
      <c r="E2" s="1" t="s">
        <v>338</v>
      </c>
      <c r="F2">
        <v>3</v>
      </c>
      <c r="G2">
        <v>3</v>
      </c>
      <c r="H2">
        <v>4.9000000000000004</v>
      </c>
      <c r="I2">
        <v>14.7</v>
      </c>
      <c r="J2">
        <v>4.9000000000000004</v>
      </c>
      <c r="K2">
        <v>14.7</v>
      </c>
      <c r="L2">
        <v>14.7</v>
      </c>
      <c r="M2">
        <v>14.7</v>
      </c>
      <c r="N2" s="1" t="s">
        <v>26</v>
      </c>
      <c r="O2" s="1" t="s">
        <v>27</v>
      </c>
      <c r="P2" s="1" t="s">
        <v>208</v>
      </c>
      <c r="Q2" s="1" t="s">
        <v>208</v>
      </c>
    </row>
    <row r="3" spans="1:17" hidden="1" x14ac:dyDescent="0.3">
      <c r="A3" s="1" t="s">
        <v>676</v>
      </c>
      <c r="B3" s="1" t="s">
        <v>677</v>
      </c>
      <c r="C3" s="1" t="s">
        <v>678</v>
      </c>
      <c r="D3" s="1" t="s">
        <v>329</v>
      </c>
      <c r="E3" s="1" t="s">
        <v>330</v>
      </c>
      <c r="F3">
        <v>2</v>
      </c>
      <c r="G3">
        <v>2</v>
      </c>
      <c r="H3">
        <v>14.38</v>
      </c>
      <c r="I3">
        <v>28.76</v>
      </c>
      <c r="J3">
        <v>14.38</v>
      </c>
      <c r="K3">
        <v>28.76</v>
      </c>
      <c r="L3">
        <v>28.76</v>
      </c>
      <c r="M3">
        <v>28.76</v>
      </c>
      <c r="N3" s="1" t="s">
        <v>26</v>
      </c>
      <c r="O3" s="1" t="s">
        <v>27</v>
      </c>
      <c r="P3" s="1" t="s">
        <v>208</v>
      </c>
      <c r="Q3" s="1" t="s">
        <v>208</v>
      </c>
    </row>
    <row r="4" spans="1:17" hidden="1" x14ac:dyDescent="0.3">
      <c r="A4" s="1" t="s">
        <v>676</v>
      </c>
      <c r="B4" s="1" t="s">
        <v>677</v>
      </c>
      <c r="C4" s="1" t="s">
        <v>678</v>
      </c>
      <c r="D4" s="1" t="s">
        <v>357</v>
      </c>
      <c r="E4" s="1" t="s">
        <v>358</v>
      </c>
      <c r="F4">
        <v>1</v>
      </c>
      <c r="G4">
        <v>1</v>
      </c>
      <c r="H4">
        <v>2.89</v>
      </c>
      <c r="I4">
        <v>2.89</v>
      </c>
      <c r="J4">
        <v>2.89</v>
      </c>
      <c r="K4">
        <v>2.89</v>
      </c>
      <c r="L4">
        <v>2.89</v>
      </c>
      <c r="M4">
        <v>2.89</v>
      </c>
      <c r="N4" s="1" t="s">
        <v>26</v>
      </c>
      <c r="O4" s="1" t="s">
        <v>27</v>
      </c>
      <c r="P4" s="1" t="s">
        <v>208</v>
      </c>
      <c r="Q4" s="1" t="s">
        <v>208</v>
      </c>
    </row>
    <row r="5" spans="1:17" hidden="1" x14ac:dyDescent="0.3">
      <c r="A5" s="1" t="s">
        <v>676</v>
      </c>
      <c r="B5" s="1" t="s">
        <v>677</v>
      </c>
      <c r="C5" s="1" t="s">
        <v>678</v>
      </c>
      <c r="D5" s="1" t="s">
        <v>723</v>
      </c>
      <c r="E5" s="1" t="s">
        <v>724</v>
      </c>
      <c r="F5">
        <v>6</v>
      </c>
      <c r="G5">
        <v>6</v>
      </c>
      <c r="H5">
        <v>0.72</v>
      </c>
      <c r="I5">
        <v>4.32</v>
      </c>
      <c r="J5">
        <v>0.72</v>
      </c>
      <c r="K5">
        <v>4.32</v>
      </c>
      <c r="L5">
        <v>4.32</v>
      </c>
      <c r="M5">
        <v>4.32</v>
      </c>
      <c r="N5" s="1" t="s">
        <v>26</v>
      </c>
      <c r="O5" s="1" t="s">
        <v>27</v>
      </c>
      <c r="P5" s="1" t="s">
        <v>208</v>
      </c>
      <c r="Q5" s="1" t="s">
        <v>208</v>
      </c>
    </row>
    <row r="6" spans="1:17" hidden="1" x14ac:dyDescent="0.3">
      <c r="A6" s="1" t="s">
        <v>676</v>
      </c>
      <c r="B6" s="1" t="s">
        <v>677</v>
      </c>
      <c r="C6" s="1" t="s">
        <v>678</v>
      </c>
      <c r="D6" s="1" t="s">
        <v>262</v>
      </c>
      <c r="E6" s="1" t="s">
        <v>297</v>
      </c>
      <c r="F6">
        <v>3</v>
      </c>
      <c r="G6">
        <v>3</v>
      </c>
      <c r="H6">
        <v>0</v>
      </c>
      <c r="I6">
        <v>0</v>
      </c>
      <c r="J6">
        <v>0</v>
      </c>
      <c r="K6">
        <v>0</v>
      </c>
      <c r="L6">
        <v>0</v>
      </c>
      <c r="M6">
        <v>0</v>
      </c>
      <c r="N6" s="1" t="s">
        <v>26</v>
      </c>
      <c r="O6" s="1" t="s">
        <v>27</v>
      </c>
      <c r="P6" s="1" t="s">
        <v>208</v>
      </c>
      <c r="Q6" s="1" t="s">
        <v>208</v>
      </c>
    </row>
    <row r="7" spans="1:17" hidden="1" x14ac:dyDescent="0.3">
      <c r="A7" s="1" t="s">
        <v>676</v>
      </c>
      <c r="B7" s="1" t="s">
        <v>677</v>
      </c>
      <c r="C7" s="1" t="s">
        <v>678</v>
      </c>
      <c r="D7" s="1" t="s">
        <v>306</v>
      </c>
      <c r="E7" s="1" t="s">
        <v>307</v>
      </c>
      <c r="F7">
        <v>2</v>
      </c>
      <c r="G7">
        <v>2</v>
      </c>
      <c r="H7">
        <v>490</v>
      </c>
      <c r="I7">
        <v>980</v>
      </c>
      <c r="J7">
        <v>490</v>
      </c>
      <c r="K7">
        <v>980</v>
      </c>
      <c r="L7">
        <v>980</v>
      </c>
      <c r="M7">
        <v>980</v>
      </c>
      <c r="N7" s="1" t="s">
        <v>26</v>
      </c>
      <c r="O7" s="1" t="s">
        <v>27</v>
      </c>
      <c r="P7" s="1" t="s">
        <v>208</v>
      </c>
      <c r="Q7" s="1" t="s">
        <v>208</v>
      </c>
    </row>
    <row r="8" spans="1:17" hidden="1" x14ac:dyDescent="0.3">
      <c r="A8" s="1" t="s">
        <v>676</v>
      </c>
      <c r="B8" s="1" t="s">
        <v>677</v>
      </c>
      <c r="C8" s="1" t="s">
        <v>678</v>
      </c>
      <c r="D8" s="1" t="s">
        <v>248</v>
      </c>
      <c r="E8" s="1" t="s">
        <v>725</v>
      </c>
      <c r="F8">
        <v>3</v>
      </c>
      <c r="G8">
        <v>3</v>
      </c>
      <c r="H8">
        <v>330.1</v>
      </c>
      <c r="I8">
        <v>990.3</v>
      </c>
      <c r="J8">
        <v>330.1</v>
      </c>
      <c r="K8">
        <v>990.3</v>
      </c>
      <c r="L8">
        <v>990.3</v>
      </c>
      <c r="M8">
        <v>990.3</v>
      </c>
      <c r="N8" s="1" t="s">
        <v>26</v>
      </c>
      <c r="O8" s="1" t="s">
        <v>27</v>
      </c>
      <c r="P8" s="1" t="s">
        <v>208</v>
      </c>
      <c r="Q8" s="1" t="s">
        <v>208</v>
      </c>
    </row>
    <row r="9" spans="1:17" hidden="1" x14ac:dyDescent="0.3">
      <c r="A9" s="1" t="s">
        <v>676</v>
      </c>
      <c r="B9" s="1" t="s">
        <v>677</v>
      </c>
      <c r="C9" s="1" t="s">
        <v>678</v>
      </c>
      <c r="D9" s="1" t="s">
        <v>312</v>
      </c>
      <c r="E9" s="1" t="s">
        <v>313</v>
      </c>
      <c r="F9">
        <v>1</v>
      </c>
      <c r="G9">
        <v>1</v>
      </c>
      <c r="H9">
        <v>14.7</v>
      </c>
      <c r="I9">
        <v>14.7</v>
      </c>
      <c r="J9">
        <v>14.7</v>
      </c>
      <c r="K9">
        <v>14.7</v>
      </c>
      <c r="L9">
        <v>14.7</v>
      </c>
      <c r="M9">
        <v>14.7</v>
      </c>
      <c r="N9" s="1" t="s">
        <v>26</v>
      </c>
      <c r="O9" s="1" t="s">
        <v>27</v>
      </c>
      <c r="P9" s="1" t="s">
        <v>208</v>
      </c>
      <c r="Q9" s="1" t="s">
        <v>208</v>
      </c>
    </row>
    <row r="10" spans="1:17" hidden="1" x14ac:dyDescent="0.3">
      <c r="A10" s="1" t="s">
        <v>676</v>
      </c>
      <c r="B10" s="1" t="s">
        <v>677</v>
      </c>
      <c r="C10" s="1" t="s">
        <v>678</v>
      </c>
      <c r="D10" s="1" t="s">
        <v>327</v>
      </c>
      <c r="E10" s="1" t="s">
        <v>328</v>
      </c>
      <c r="F10">
        <v>1</v>
      </c>
      <c r="G10">
        <v>1</v>
      </c>
      <c r="H10">
        <v>0.36</v>
      </c>
      <c r="I10">
        <v>0.36</v>
      </c>
      <c r="J10">
        <v>0.36</v>
      </c>
      <c r="K10">
        <v>0.36</v>
      </c>
      <c r="L10">
        <v>0.36</v>
      </c>
      <c r="M10">
        <v>0.36</v>
      </c>
      <c r="N10" s="1" t="s">
        <v>26</v>
      </c>
      <c r="O10" s="1" t="s">
        <v>27</v>
      </c>
      <c r="P10" s="1" t="s">
        <v>208</v>
      </c>
      <c r="Q10" s="1" t="s">
        <v>208</v>
      </c>
    </row>
    <row r="11" spans="1:17" hidden="1" x14ac:dyDescent="0.3">
      <c r="A11" s="1" t="s">
        <v>676</v>
      </c>
      <c r="B11" s="1" t="s">
        <v>677</v>
      </c>
      <c r="C11" s="1" t="s">
        <v>678</v>
      </c>
      <c r="D11" s="1" t="s">
        <v>865</v>
      </c>
      <c r="E11" s="1" t="s">
        <v>866</v>
      </c>
      <c r="F11">
        <v>1</v>
      </c>
      <c r="G11">
        <v>1</v>
      </c>
      <c r="H11">
        <v>9</v>
      </c>
      <c r="I11">
        <v>9</v>
      </c>
      <c r="J11">
        <v>9</v>
      </c>
      <c r="K11">
        <v>9</v>
      </c>
      <c r="L11">
        <v>9</v>
      </c>
      <c r="M11">
        <v>9</v>
      </c>
      <c r="N11" s="1" t="s">
        <v>26</v>
      </c>
      <c r="O11" s="1" t="s">
        <v>27</v>
      </c>
      <c r="P11" s="1" t="s">
        <v>208</v>
      </c>
      <c r="Q11" s="1" t="s">
        <v>208</v>
      </c>
    </row>
    <row r="12" spans="1:17" hidden="1" x14ac:dyDescent="0.3">
      <c r="A12" s="1" t="s">
        <v>676</v>
      </c>
      <c r="B12" s="1" t="s">
        <v>677</v>
      </c>
      <c r="C12" s="1" t="s">
        <v>678</v>
      </c>
      <c r="D12" s="1" t="s">
        <v>833</v>
      </c>
      <c r="E12" s="1" t="s">
        <v>834</v>
      </c>
      <c r="F12">
        <v>1</v>
      </c>
      <c r="G12">
        <v>1</v>
      </c>
      <c r="H12">
        <v>897.52</v>
      </c>
      <c r="I12">
        <v>716.41</v>
      </c>
      <c r="J12">
        <v>716.41</v>
      </c>
      <c r="K12">
        <v>716.41</v>
      </c>
      <c r="L12">
        <v>716.41</v>
      </c>
      <c r="M12">
        <v>716.41</v>
      </c>
      <c r="N12" s="1" t="s">
        <v>26</v>
      </c>
      <c r="O12" s="1" t="s">
        <v>27</v>
      </c>
      <c r="P12" s="1" t="s">
        <v>208</v>
      </c>
      <c r="Q12" s="1" t="s">
        <v>208</v>
      </c>
    </row>
    <row r="13" spans="1:17" hidden="1" x14ac:dyDescent="0.3">
      <c r="A13" s="1" t="s">
        <v>676</v>
      </c>
      <c r="B13" s="1" t="s">
        <v>677</v>
      </c>
      <c r="C13" s="1" t="s">
        <v>678</v>
      </c>
      <c r="D13" s="1" t="s">
        <v>351</v>
      </c>
      <c r="E13" s="1" t="s">
        <v>352</v>
      </c>
      <c r="F13">
        <v>4</v>
      </c>
      <c r="G13">
        <v>4</v>
      </c>
      <c r="H13">
        <v>34.61</v>
      </c>
      <c r="I13">
        <v>138.44</v>
      </c>
      <c r="J13">
        <v>34.61</v>
      </c>
      <c r="K13">
        <v>138.44</v>
      </c>
      <c r="L13">
        <v>138.44</v>
      </c>
      <c r="M13">
        <v>138.44</v>
      </c>
      <c r="N13" s="1" t="s">
        <v>26</v>
      </c>
      <c r="O13" s="1" t="s">
        <v>27</v>
      </c>
      <c r="P13" s="1" t="s">
        <v>208</v>
      </c>
      <c r="Q13" s="1" t="s">
        <v>208</v>
      </c>
    </row>
    <row r="14" spans="1:17" hidden="1" x14ac:dyDescent="0.3">
      <c r="A14" s="1" t="s">
        <v>676</v>
      </c>
      <c r="B14" s="1" t="s">
        <v>677</v>
      </c>
      <c r="C14" s="1" t="s">
        <v>678</v>
      </c>
      <c r="D14" s="1" t="s">
        <v>726</v>
      </c>
      <c r="E14" s="1" t="s">
        <v>727</v>
      </c>
      <c r="F14">
        <v>4</v>
      </c>
      <c r="G14">
        <v>4</v>
      </c>
      <c r="H14">
        <v>0.85</v>
      </c>
      <c r="I14">
        <v>3.4</v>
      </c>
      <c r="J14">
        <v>0.85</v>
      </c>
      <c r="K14">
        <v>3.4</v>
      </c>
      <c r="L14">
        <v>3.4</v>
      </c>
      <c r="M14">
        <v>3.4</v>
      </c>
      <c r="N14" s="1" t="s">
        <v>26</v>
      </c>
      <c r="O14" s="1" t="s">
        <v>27</v>
      </c>
      <c r="P14" s="1" t="s">
        <v>208</v>
      </c>
      <c r="Q14" s="1" t="s">
        <v>208</v>
      </c>
    </row>
    <row r="15" spans="1:17" hidden="1" x14ac:dyDescent="0.3">
      <c r="A15" s="1" t="s">
        <v>676</v>
      </c>
      <c r="B15" s="1" t="s">
        <v>677</v>
      </c>
      <c r="C15" s="1" t="s">
        <v>678</v>
      </c>
      <c r="D15" s="1" t="s">
        <v>728</v>
      </c>
      <c r="E15" s="1" t="s">
        <v>729</v>
      </c>
      <c r="F15">
        <v>2</v>
      </c>
      <c r="G15">
        <v>2</v>
      </c>
      <c r="H15">
        <v>20.56</v>
      </c>
      <c r="I15">
        <v>41.12</v>
      </c>
      <c r="J15">
        <v>20.56</v>
      </c>
      <c r="K15">
        <v>41.12</v>
      </c>
      <c r="L15">
        <v>41.12</v>
      </c>
      <c r="M15">
        <v>41.12</v>
      </c>
      <c r="N15" s="1" t="s">
        <v>26</v>
      </c>
      <c r="O15" s="1" t="s">
        <v>27</v>
      </c>
      <c r="P15" s="1" t="s">
        <v>208</v>
      </c>
      <c r="Q15" s="1" t="s">
        <v>208</v>
      </c>
    </row>
    <row r="16" spans="1:17" hidden="1" x14ac:dyDescent="0.3">
      <c r="A16" s="1" t="s">
        <v>676</v>
      </c>
      <c r="B16" s="1" t="s">
        <v>677</v>
      </c>
      <c r="C16" s="1" t="s">
        <v>678</v>
      </c>
      <c r="D16" s="1" t="s">
        <v>349</v>
      </c>
      <c r="E16" s="1" t="s">
        <v>350</v>
      </c>
      <c r="F16">
        <v>2</v>
      </c>
      <c r="G16">
        <v>2</v>
      </c>
      <c r="H16">
        <v>14.83</v>
      </c>
      <c r="I16">
        <v>29.66</v>
      </c>
      <c r="J16">
        <v>14.83</v>
      </c>
      <c r="K16">
        <v>29.66</v>
      </c>
      <c r="L16">
        <v>29.66</v>
      </c>
      <c r="M16">
        <v>29.66</v>
      </c>
      <c r="N16" s="1" t="s">
        <v>26</v>
      </c>
      <c r="O16" s="1" t="s">
        <v>27</v>
      </c>
      <c r="P16" s="1" t="s">
        <v>208</v>
      </c>
      <c r="Q16" s="1" t="s">
        <v>208</v>
      </c>
    </row>
    <row r="17" spans="1:17" hidden="1" x14ac:dyDescent="0.3">
      <c r="A17" s="1" t="s">
        <v>676</v>
      </c>
      <c r="B17" s="1" t="s">
        <v>677</v>
      </c>
      <c r="C17" s="1" t="s">
        <v>678</v>
      </c>
      <c r="D17" s="1" t="s">
        <v>333</v>
      </c>
      <c r="E17" s="1" t="s">
        <v>334</v>
      </c>
      <c r="F17">
        <v>6</v>
      </c>
      <c r="G17">
        <v>6</v>
      </c>
      <c r="H17">
        <v>0.16</v>
      </c>
      <c r="I17">
        <v>0.96</v>
      </c>
      <c r="J17">
        <v>0.16</v>
      </c>
      <c r="K17">
        <v>0.96</v>
      </c>
      <c r="L17">
        <v>0.96</v>
      </c>
      <c r="M17">
        <v>0.96</v>
      </c>
      <c r="N17" s="1" t="s">
        <v>26</v>
      </c>
      <c r="O17" s="1" t="s">
        <v>27</v>
      </c>
      <c r="P17" s="1" t="s">
        <v>208</v>
      </c>
      <c r="Q17" s="1" t="s">
        <v>208</v>
      </c>
    </row>
    <row r="18" spans="1:17" hidden="1" x14ac:dyDescent="0.3">
      <c r="A18" s="1" t="s">
        <v>676</v>
      </c>
      <c r="B18" s="1" t="s">
        <v>677</v>
      </c>
      <c r="C18" s="1" t="s">
        <v>678</v>
      </c>
      <c r="D18" s="1" t="s">
        <v>325</v>
      </c>
      <c r="E18" s="1" t="s">
        <v>326</v>
      </c>
      <c r="F18">
        <v>6</v>
      </c>
      <c r="G18">
        <v>6</v>
      </c>
      <c r="H18">
        <v>27.81</v>
      </c>
      <c r="I18">
        <v>166.86</v>
      </c>
      <c r="J18">
        <v>27.81</v>
      </c>
      <c r="K18">
        <v>166.86</v>
      </c>
      <c r="L18">
        <v>166.86</v>
      </c>
      <c r="M18">
        <v>166.86</v>
      </c>
      <c r="N18" s="1" t="s">
        <v>26</v>
      </c>
      <c r="O18" s="1" t="s">
        <v>27</v>
      </c>
      <c r="P18" s="1" t="s">
        <v>208</v>
      </c>
      <c r="Q18" s="1" t="s">
        <v>208</v>
      </c>
    </row>
    <row r="19" spans="1:17" hidden="1" x14ac:dyDescent="0.3">
      <c r="A19" s="1" t="s">
        <v>676</v>
      </c>
      <c r="B19" s="1" t="s">
        <v>677</v>
      </c>
      <c r="C19" s="1" t="s">
        <v>678</v>
      </c>
      <c r="D19" s="1" t="s">
        <v>341</v>
      </c>
      <c r="E19" s="1" t="s">
        <v>342</v>
      </c>
      <c r="F19">
        <v>1</v>
      </c>
      <c r="G19">
        <v>1</v>
      </c>
      <c r="H19">
        <v>143.33000000000001</v>
      </c>
      <c r="I19">
        <v>143.33000000000001</v>
      </c>
      <c r="J19">
        <v>143.33000000000001</v>
      </c>
      <c r="K19">
        <v>143.33000000000001</v>
      </c>
      <c r="L19">
        <v>143.33000000000001</v>
      </c>
      <c r="M19">
        <v>143.33000000000001</v>
      </c>
      <c r="N19" s="1" t="s">
        <v>26</v>
      </c>
      <c r="O19" s="1" t="s">
        <v>27</v>
      </c>
      <c r="P19" s="1" t="s">
        <v>208</v>
      </c>
      <c r="Q19" s="1" t="s">
        <v>208</v>
      </c>
    </row>
    <row r="20" spans="1:17" hidden="1" x14ac:dyDescent="0.3">
      <c r="A20" s="1" t="s">
        <v>676</v>
      </c>
      <c r="B20" s="1" t="s">
        <v>677</v>
      </c>
      <c r="C20" s="1" t="s">
        <v>678</v>
      </c>
      <c r="D20" s="1" t="s">
        <v>300</v>
      </c>
      <c r="E20" s="1" t="s">
        <v>301</v>
      </c>
      <c r="F20">
        <v>1</v>
      </c>
      <c r="G20">
        <v>1</v>
      </c>
      <c r="H20">
        <v>6865</v>
      </c>
      <c r="I20">
        <v>6865</v>
      </c>
      <c r="J20">
        <v>6865</v>
      </c>
      <c r="K20">
        <v>6865</v>
      </c>
      <c r="L20">
        <v>6865</v>
      </c>
      <c r="M20">
        <v>6865</v>
      </c>
      <c r="N20" s="1" t="s">
        <v>26</v>
      </c>
      <c r="O20" s="1" t="s">
        <v>27</v>
      </c>
      <c r="P20" s="1" t="s">
        <v>208</v>
      </c>
      <c r="Q20" s="1" t="s">
        <v>208</v>
      </c>
    </row>
    <row r="21" spans="1:17" hidden="1" x14ac:dyDescent="0.3">
      <c r="A21" s="1" t="s">
        <v>676</v>
      </c>
      <c r="B21" s="1" t="s">
        <v>677</v>
      </c>
      <c r="C21" s="1" t="s">
        <v>678</v>
      </c>
      <c r="D21" s="1" t="s">
        <v>343</v>
      </c>
      <c r="E21" s="1" t="s">
        <v>344</v>
      </c>
      <c r="F21">
        <v>6</v>
      </c>
      <c r="G21">
        <v>6</v>
      </c>
      <c r="H21">
        <v>16.440000000000001</v>
      </c>
      <c r="I21">
        <v>98.64</v>
      </c>
      <c r="J21">
        <v>16.440000000000001</v>
      </c>
      <c r="K21">
        <v>98.64</v>
      </c>
      <c r="L21">
        <v>98.64</v>
      </c>
      <c r="M21">
        <v>98.64</v>
      </c>
      <c r="N21" s="1" t="s">
        <v>26</v>
      </c>
      <c r="O21" s="1" t="s">
        <v>27</v>
      </c>
      <c r="P21" s="1" t="s">
        <v>208</v>
      </c>
      <c r="Q21" s="1" t="s">
        <v>208</v>
      </c>
    </row>
    <row r="22" spans="1:17" hidden="1" x14ac:dyDescent="0.3">
      <c r="A22" s="1" t="s">
        <v>676</v>
      </c>
      <c r="B22" s="1" t="s">
        <v>677</v>
      </c>
      <c r="C22" s="1" t="s">
        <v>678</v>
      </c>
      <c r="D22" s="1" t="s">
        <v>320</v>
      </c>
      <c r="E22" s="1" t="s">
        <v>321</v>
      </c>
      <c r="F22">
        <v>11</v>
      </c>
      <c r="G22">
        <v>11</v>
      </c>
      <c r="H22">
        <v>0.18</v>
      </c>
      <c r="I22">
        <v>1.98</v>
      </c>
      <c r="J22">
        <v>0.18</v>
      </c>
      <c r="K22">
        <v>1.98</v>
      </c>
      <c r="L22">
        <v>1.98</v>
      </c>
      <c r="M22">
        <v>1.98</v>
      </c>
      <c r="N22" s="1" t="s">
        <v>26</v>
      </c>
      <c r="O22" s="1" t="s">
        <v>27</v>
      </c>
      <c r="P22" s="1" t="s">
        <v>208</v>
      </c>
      <c r="Q22" s="1" t="s">
        <v>208</v>
      </c>
    </row>
    <row r="23" spans="1:17" hidden="1" x14ac:dyDescent="0.3">
      <c r="A23" s="1" t="s">
        <v>676</v>
      </c>
      <c r="B23" s="1" t="s">
        <v>677</v>
      </c>
      <c r="C23" s="1" t="s">
        <v>678</v>
      </c>
      <c r="D23" s="1" t="s">
        <v>291</v>
      </c>
      <c r="E23" s="1" t="s">
        <v>292</v>
      </c>
      <c r="F23">
        <v>1</v>
      </c>
      <c r="G23">
        <v>1</v>
      </c>
      <c r="H23">
        <v>291</v>
      </c>
      <c r="I23">
        <v>291</v>
      </c>
      <c r="J23">
        <v>291</v>
      </c>
      <c r="K23">
        <v>291</v>
      </c>
      <c r="L23">
        <v>291</v>
      </c>
      <c r="M23">
        <v>291</v>
      </c>
      <c r="N23" s="1" t="s">
        <v>26</v>
      </c>
      <c r="O23" s="1" t="s">
        <v>27</v>
      </c>
      <c r="P23" s="1" t="s">
        <v>208</v>
      </c>
      <c r="Q23" s="1" t="s">
        <v>208</v>
      </c>
    </row>
    <row r="24" spans="1:17" hidden="1" x14ac:dyDescent="0.3">
      <c r="A24" s="1" t="s">
        <v>676</v>
      </c>
      <c r="B24" s="1" t="s">
        <v>677</v>
      </c>
      <c r="C24" s="1" t="s">
        <v>678</v>
      </c>
      <c r="D24" s="1" t="s">
        <v>730</v>
      </c>
      <c r="E24" s="1" t="s">
        <v>731</v>
      </c>
      <c r="F24">
        <v>1</v>
      </c>
      <c r="G24">
        <v>1</v>
      </c>
      <c r="H24">
        <v>293.41000000000003</v>
      </c>
      <c r="I24">
        <v>293.41000000000003</v>
      </c>
      <c r="J24">
        <v>293.41000000000003</v>
      </c>
      <c r="K24">
        <v>293.41000000000003</v>
      </c>
      <c r="L24">
        <v>293.41000000000003</v>
      </c>
      <c r="M24">
        <v>293.41000000000003</v>
      </c>
      <c r="N24" s="1" t="s">
        <v>26</v>
      </c>
      <c r="O24" s="1" t="s">
        <v>27</v>
      </c>
      <c r="P24" s="1" t="s">
        <v>208</v>
      </c>
      <c r="Q24" s="1" t="s">
        <v>208</v>
      </c>
    </row>
    <row r="25" spans="1:17" hidden="1" x14ac:dyDescent="0.3">
      <c r="A25" s="1" t="s">
        <v>676</v>
      </c>
      <c r="B25" s="1" t="s">
        <v>677</v>
      </c>
      <c r="C25" s="1" t="s">
        <v>678</v>
      </c>
      <c r="D25" s="1" t="s">
        <v>835</v>
      </c>
      <c r="E25" s="1" t="s">
        <v>836</v>
      </c>
      <c r="F25">
        <v>1</v>
      </c>
      <c r="G25">
        <v>1</v>
      </c>
      <c r="H25">
        <v>0</v>
      </c>
      <c r="I25">
        <v>369</v>
      </c>
      <c r="J25">
        <v>369</v>
      </c>
      <c r="K25">
        <v>369</v>
      </c>
      <c r="L25">
        <v>369</v>
      </c>
      <c r="M25">
        <v>369</v>
      </c>
      <c r="N25" s="1" t="s">
        <v>26</v>
      </c>
      <c r="O25" s="1" t="s">
        <v>27</v>
      </c>
      <c r="P25" s="1" t="s">
        <v>208</v>
      </c>
      <c r="Q25" s="1" t="s">
        <v>208</v>
      </c>
    </row>
    <row r="26" spans="1:17" hidden="1" x14ac:dyDescent="0.3">
      <c r="A26" s="1" t="s">
        <v>676</v>
      </c>
      <c r="B26" s="1" t="s">
        <v>677</v>
      </c>
      <c r="C26" s="1" t="s">
        <v>678</v>
      </c>
      <c r="D26" s="1" t="s">
        <v>304</v>
      </c>
      <c r="E26" s="1" t="s">
        <v>305</v>
      </c>
      <c r="F26">
        <v>2</v>
      </c>
      <c r="G26">
        <v>2</v>
      </c>
      <c r="H26">
        <v>13.7</v>
      </c>
      <c r="I26">
        <v>27.4</v>
      </c>
      <c r="J26">
        <v>13.7</v>
      </c>
      <c r="K26">
        <v>27.4</v>
      </c>
      <c r="L26">
        <v>27.4</v>
      </c>
      <c r="M26">
        <v>27.4</v>
      </c>
      <c r="N26" s="1" t="s">
        <v>26</v>
      </c>
      <c r="O26" s="1" t="s">
        <v>27</v>
      </c>
      <c r="P26" s="1" t="s">
        <v>208</v>
      </c>
      <c r="Q26" s="1" t="s">
        <v>208</v>
      </c>
    </row>
    <row r="27" spans="1:17" hidden="1" x14ac:dyDescent="0.3">
      <c r="A27" s="1" t="s">
        <v>676</v>
      </c>
      <c r="B27" s="1" t="s">
        <v>677</v>
      </c>
      <c r="C27" s="1" t="s">
        <v>678</v>
      </c>
      <c r="D27" s="1" t="s">
        <v>361</v>
      </c>
      <c r="E27" s="1" t="s">
        <v>362</v>
      </c>
      <c r="F27">
        <v>6</v>
      </c>
      <c r="G27">
        <v>6</v>
      </c>
      <c r="H27">
        <v>0.97</v>
      </c>
      <c r="I27">
        <v>5.82</v>
      </c>
      <c r="J27">
        <v>0.97</v>
      </c>
      <c r="K27">
        <v>5.82</v>
      </c>
      <c r="L27">
        <v>5.82</v>
      </c>
      <c r="M27">
        <v>5.82</v>
      </c>
      <c r="N27" s="1" t="s">
        <v>26</v>
      </c>
      <c r="O27" s="1" t="s">
        <v>27</v>
      </c>
      <c r="P27" s="1" t="s">
        <v>208</v>
      </c>
      <c r="Q27" s="1" t="s">
        <v>208</v>
      </c>
    </row>
    <row r="28" spans="1:17" hidden="1" x14ac:dyDescent="0.3">
      <c r="A28" s="1" t="s">
        <v>676</v>
      </c>
      <c r="B28" s="1" t="s">
        <v>677</v>
      </c>
      <c r="C28" s="1" t="s">
        <v>678</v>
      </c>
      <c r="D28" s="1" t="s">
        <v>308</v>
      </c>
      <c r="E28" s="1" t="s">
        <v>309</v>
      </c>
      <c r="F28">
        <v>1</v>
      </c>
      <c r="G28">
        <v>1</v>
      </c>
      <c r="H28">
        <v>0</v>
      </c>
      <c r="I28">
        <v>0</v>
      </c>
      <c r="J28">
        <v>0</v>
      </c>
      <c r="K28">
        <v>0</v>
      </c>
      <c r="L28">
        <v>0</v>
      </c>
      <c r="M28">
        <v>0</v>
      </c>
      <c r="N28" s="1" t="s">
        <v>26</v>
      </c>
      <c r="O28" s="1" t="s">
        <v>27</v>
      </c>
      <c r="P28" s="1" t="s">
        <v>208</v>
      </c>
      <c r="Q28" s="1" t="s">
        <v>208</v>
      </c>
    </row>
    <row r="29" spans="1:17" hidden="1" x14ac:dyDescent="0.3">
      <c r="A29" s="1" t="s">
        <v>676</v>
      </c>
      <c r="B29" s="1" t="s">
        <v>677</v>
      </c>
      <c r="C29" s="1" t="s">
        <v>678</v>
      </c>
      <c r="D29" s="1" t="s">
        <v>331</v>
      </c>
      <c r="E29" s="1" t="s">
        <v>332</v>
      </c>
      <c r="F29">
        <v>1</v>
      </c>
      <c r="G29">
        <v>1</v>
      </c>
      <c r="H29">
        <v>45</v>
      </c>
      <c r="I29">
        <v>45</v>
      </c>
      <c r="J29">
        <v>45</v>
      </c>
      <c r="K29">
        <v>45</v>
      </c>
      <c r="L29">
        <v>45</v>
      </c>
      <c r="M29">
        <v>45</v>
      </c>
      <c r="N29" s="1" t="s">
        <v>26</v>
      </c>
      <c r="O29" s="1" t="s">
        <v>27</v>
      </c>
      <c r="P29" s="1" t="s">
        <v>208</v>
      </c>
      <c r="Q29" s="1" t="s">
        <v>208</v>
      </c>
    </row>
    <row r="30" spans="1:17" hidden="1" x14ac:dyDescent="0.3">
      <c r="A30" s="1" t="s">
        <v>676</v>
      </c>
      <c r="B30" s="1" t="s">
        <v>677</v>
      </c>
      <c r="C30" s="1" t="s">
        <v>678</v>
      </c>
      <c r="D30" s="1" t="s">
        <v>298</v>
      </c>
      <c r="E30" s="1" t="s">
        <v>299</v>
      </c>
      <c r="F30">
        <v>9600</v>
      </c>
      <c r="G30">
        <v>9600</v>
      </c>
      <c r="H30">
        <v>0.13</v>
      </c>
      <c r="I30">
        <v>1248</v>
      </c>
      <c r="J30">
        <v>0.13</v>
      </c>
      <c r="K30">
        <v>1248</v>
      </c>
      <c r="L30">
        <v>1248</v>
      </c>
      <c r="M30">
        <v>1248</v>
      </c>
      <c r="N30" s="1" t="s">
        <v>26</v>
      </c>
      <c r="O30" s="1" t="s">
        <v>27</v>
      </c>
      <c r="P30" s="1" t="s">
        <v>208</v>
      </c>
      <c r="Q30" s="1" t="s">
        <v>208</v>
      </c>
    </row>
    <row r="31" spans="1:17" hidden="1" x14ac:dyDescent="0.3">
      <c r="A31" s="1" t="s">
        <v>676</v>
      </c>
      <c r="B31" s="1" t="s">
        <v>677</v>
      </c>
      <c r="C31" s="1" t="s">
        <v>678</v>
      </c>
      <c r="D31" s="1" t="s">
        <v>323</v>
      </c>
      <c r="E31" s="1" t="s">
        <v>324</v>
      </c>
      <c r="F31">
        <v>1</v>
      </c>
      <c r="G31">
        <v>1</v>
      </c>
      <c r="H31">
        <v>2.0499999999999998</v>
      </c>
      <c r="I31">
        <v>2.0499999999999998</v>
      </c>
      <c r="J31">
        <v>2.0499999999999998</v>
      </c>
      <c r="K31">
        <v>2.0499999999999998</v>
      </c>
      <c r="L31">
        <v>2.0499999999999998</v>
      </c>
      <c r="M31">
        <v>2.0499999999999998</v>
      </c>
      <c r="N31" s="1" t="s">
        <v>26</v>
      </c>
      <c r="O31" s="1" t="s">
        <v>27</v>
      </c>
      <c r="P31" s="1" t="s">
        <v>208</v>
      </c>
      <c r="Q31" s="1" t="s">
        <v>208</v>
      </c>
    </row>
    <row r="32" spans="1:17" hidden="1" x14ac:dyDescent="0.3">
      <c r="A32" s="1" t="s">
        <v>676</v>
      </c>
      <c r="B32" s="1" t="s">
        <v>677</v>
      </c>
      <c r="C32" s="1" t="s">
        <v>678</v>
      </c>
      <c r="D32" s="1" t="s">
        <v>732</v>
      </c>
      <c r="E32" s="1" t="s">
        <v>733</v>
      </c>
      <c r="F32">
        <v>1</v>
      </c>
      <c r="G32">
        <v>1</v>
      </c>
      <c r="H32">
        <v>13127.98</v>
      </c>
      <c r="I32">
        <v>13127.98</v>
      </c>
      <c r="J32">
        <v>13127.98</v>
      </c>
      <c r="K32">
        <v>13127.98</v>
      </c>
      <c r="L32">
        <v>13127.98</v>
      </c>
      <c r="M32">
        <v>13127.98</v>
      </c>
      <c r="N32" s="1" t="s">
        <v>26</v>
      </c>
      <c r="O32" s="1" t="s">
        <v>27</v>
      </c>
      <c r="P32" s="1" t="s">
        <v>208</v>
      </c>
      <c r="Q32" s="1" t="s">
        <v>208</v>
      </c>
    </row>
    <row r="33" spans="1:17" hidden="1" x14ac:dyDescent="0.3">
      <c r="A33" s="1" t="s">
        <v>676</v>
      </c>
      <c r="B33" s="1" t="s">
        <v>677</v>
      </c>
      <c r="C33" s="1" t="s">
        <v>678</v>
      </c>
      <c r="D33" s="1" t="s">
        <v>345</v>
      </c>
      <c r="E33" s="1" t="s">
        <v>346</v>
      </c>
      <c r="F33">
        <v>1</v>
      </c>
      <c r="G33">
        <v>1</v>
      </c>
      <c r="H33">
        <v>12.33</v>
      </c>
      <c r="I33">
        <v>12.33</v>
      </c>
      <c r="J33">
        <v>12.33</v>
      </c>
      <c r="K33">
        <v>12.33</v>
      </c>
      <c r="L33">
        <v>12.33</v>
      </c>
      <c r="M33">
        <v>12.33</v>
      </c>
      <c r="N33" s="1" t="s">
        <v>26</v>
      </c>
      <c r="O33" s="1" t="s">
        <v>27</v>
      </c>
      <c r="P33" s="1" t="s">
        <v>208</v>
      </c>
      <c r="Q33" s="1" t="s">
        <v>208</v>
      </c>
    </row>
    <row r="34" spans="1:17" hidden="1" x14ac:dyDescent="0.3">
      <c r="A34" s="1" t="s">
        <v>676</v>
      </c>
      <c r="B34" s="1" t="s">
        <v>677</v>
      </c>
      <c r="C34" s="1" t="s">
        <v>678</v>
      </c>
      <c r="D34" s="1" t="s">
        <v>335</v>
      </c>
      <c r="E34" s="1" t="s">
        <v>336</v>
      </c>
      <c r="F34">
        <v>5</v>
      </c>
      <c r="G34">
        <v>5</v>
      </c>
      <c r="H34">
        <v>1.22</v>
      </c>
      <c r="I34">
        <v>6.1</v>
      </c>
      <c r="J34">
        <v>1.22</v>
      </c>
      <c r="K34">
        <v>6.1</v>
      </c>
      <c r="L34">
        <v>6.1</v>
      </c>
      <c r="M34">
        <v>6.1</v>
      </c>
      <c r="N34" s="1" t="s">
        <v>26</v>
      </c>
      <c r="O34" s="1" t="s">
        <v>27</v>
      </c>
      <c r="P34" s="1" t="s">
        <v>208</v>
      </c>
      <c r="Q34" s="1" t="s">
        <v>208</v>
      </c>
    </row>
    <row r="35" spans="1:17" hidden="1" x14ac:dyDescent="0.3">
      <c r="A35" s="1" t="s">
        <v>676</v>
      </c>
      <c r="B35" s="1" t="s">
        <v>677</v>
      </c>
      <c r="C35" s="1" t="s">
        <v>678</v>
      </c>
      <c r="D35" s="1" t="s">
        <v>314</v>
      </c>
      <c r="E35" s="1" t="s">
        <v>315</v>
      </c>
      <c r="F35">
        <v>1</v>
      </c>
      <c r="G35">
        <v>1</v>
      </c>
      <c r="H35">
        <v>170</v>
      </c>
      <c r="I35">
        <v>170</v>
      </c>
      <c r="J35">
        <v>170</v>
      </c>
      <c r="K35">
        <v>170</v>
      </c>
      <c r="L35">
        <v>170</v>
      </c>
      <c r="M35">
        <v>170</v>
      </c>
      <c r="N35" s="1" t="s">
        <v>26</v>
      </c>
      <c r="O35" s="1" t="s">
        <v>27</v>
      </c>
      <c r="P35" s="1" t="s">
        <v>208</v>
      </c>
      <c r="Q35" s="1" t="s">
        <v>208</v>
      </c>
    </row>
    <row r="36" spans="1:17" hidden="1" x14ac:dyDescent="0.3">
      <c r="A36" s="1" t="s">
        <v>676</v>
      </c>
      <c r="B36" s="1" t="s">
        <v>677</v>
      </c>
      <c r="C36" s="1" t="s">
        <v>678</v>
      </c>
      <c r="D36" s="1" t="s">
        <v>734</v>
      </c>
      <c r="E36" s="1" t="s">
        <v>735</v>
      </c>
      <c r="F36">
        <v>1</v>
      </c>
      <c r="G36">
        <v>1</v>
      </c>
      <c r="H36">
        <v>12986</v>
      </c>
      <c r="I36">
        <v>12986</v>
      </c>
      <c r="J36">
        <v>12986</v>
      </c>
      <c r="K36">
        <v>12986</v>
      </c>
      <c r="L36">
        <v>12986</v>
      </c>
      <c r="M36">
        <v>12986</v>
      </c>
      <c r="N36" s="1" t="s">
        <v>26</v>
      </c>
      <c r="O36" s="1" t="s">
        <v>27</v>
      </c>
      <c r="P36" s="1" t="s">
        <v>208</v>
      </c>
      <c r="Q36" s="1" t="s">
        <v>208</v>
      </c>
    </row>
    <row r="37" spans="1:17" hidden="1" x14ac:dyDescent="0.3">
      <c r="A37" s="1" t="s">
        <v>676</v>
      </c>
      <c r="B37" s="1" t="s">
        <v>677</v>
      </c>
      <c r="C37" s="1" t="s">
        <v>678</v>
      </c>
      <c r="D37" s="1" t="s">
        <v>353</v>
      </c>
      <c r="E37" s="1" t="s">
        <v>354</v>
      </c>
      <c r="F37">
        <v>2</v>
      </c>
      <c r="G37">
        <v>2</v>
      </c>
      <c r="H37">
        <v>2.27</v>
      </c>
      <c r="I37">
        <v>4.54</v>
      </c>
      <c r="J37">
        <v>2.27</v>
      </c>
      <c r="K37">
        <v>4.54</v>
      </c>
      <c r="L37">
        <v>4.54</v>
      </c>
      <c r="M37">
        <v>4.54</v>
      </c>
      <c r="N37" s="1" t="s">
        <v>26</v>
      </c>
      <c r="O37" s="1" t="s">
        <v>27</v>
      </c>
      <c r="P37" s="1" t="s">
        <v>208</v>
      </c>
      <c r="Q37" s="1" t="s">
        <v>208</v>
      </c>
    </row>
    <row r="38" spans="1:17" hidden="1" x14ac:dyDescent="0.3">
      <c r="A38" s="1" t="s">
        <v>676</v>
      </c>
      <c r="B38" s="1" t="s">
        <v>677</v>
      </c>
      <c r="C38" s="1" t="s">
        <v>678</v>
      </c>
      <c r="D38" s="1" t="s">
        <v>318</v>
      </c>
      <c r="E38" s="1" t="s">
        <v>319</v>
      </c>
      <c r="F38">
        <v>2</v>
      </c>
      <c r="G38">
        <v>2</v>
      </c>
      <c r="H38">
        <v>804.04300000000001</v>
      </c>
      <c r="I38">
        <v>1608.09</v>
      </c>
      <c r="J38">
        <v>804.04300000000001</v>
      </c>
      <c r="K38">
        <v>1608.086</v>
      </c>
      <c r="L38">
        <v>1608.086</v>
      </c>
      <c r="M38">
        <v>1608.086</v>
      </c>
      <c r="N38" s="1" t="s">
        <v>26</v>
      </c>
      <c r="O38" s="1" t="s">
        <v>27</v>
      </c>
      <c r="P38" s="1" t="s">
        <v>208</v>
      </c>
      <c r="Q38" s="1" t="s">
        <v>208</v>
      </c>
    </row>
    <row r="39" spans="1:17" hidden="1" x14ac:dyDescent="0.3">
      <c r="A39" s="1" t="s">
        <v>676</v>
      </c>
      <c r="B39" s="1" t="s">
        <v>677</v>
      </c>
      <c r="C39" s="1" t="s">
        <v>678</v>
      </c>
      <c r="D39" s="1" t="s">
        <v>837</v>
      </c>
      <c r="E39" s="1" t="s">
        <v>838</v>
      </c>
      <c r="F39">
        <v>1</v>
      </c>
      <c r="G39">
        <v>1</v>
      </c>
      <c r="H39">
        <v>2395</v>
      </c>
      <c r="I39">
        <v>2395</v>
      </c>
      <c r="J39">
        <v>2395</v>
      </c>
      <c r="K39">
        <v>2395</v>
      </c>
      <c r="L39">
        <v>2395</v>
      </c>
      <c r="M39">
        <v>2395</v>
      </c>
      <c r="N39" s="1" t="s">
        <v>26</v>
      </c>
      <c r="O39" s="1" t="s">
        <v>27</v>
      </c>
      <c r="P39" s="1" t="s">
        <v>208</v>
      </c>
      <c r="Q39" s="1" t="s">
        <v>208</v>
      </c>
    </row>
    <row r="40" spans="1:17" hidden="1" x14ac:dyDescent="0.3">
      <c r="A40" s="1" t="s">
        <v>676</v>
      </c>
      <c r="B40" s="1" t="s">
        <v>677</v>
      </c>
      <c r="C40" s="1" t="s">
        <v>678</v>
      </c>
      <c r="D40" s="1" t="s">
        <v>736</v>
      </c>
      <c r="E40" s="1" t="s">
        <v>737</v>
      </c>
      <c r="F40">
        <v>2</v>
      </c>
      <c r="G40">
        <v>2</v>
      </c>
      <c r="H40">
        <v>5.5</v>
      </c>
      <c r="I40">
        <v>11</v>
      </c>
      <c r="J40">
        <v>5.5</v>
      </c>
      <c r="K40">
        <v>11</v>
      </c>
      <c r="L40">
        <v>11</v>
      </c>
      <c r="M40">
        <v>11</v>
      </c>
      <c r="N40" s="1" t="s">
        <v>26</v>
      </c>
      <c r="O40" s="1" t="s">
        <v>27</v>
      </c>
      <c r="P40" s="1" t="s">
        <v>208</v>
      </c>
      <c r="Q40" s="1" t="s">
        <v>208</v>
      </c>
    </row>
    <row r="41" spans="1:17" hidden="1" x14ac:dyDescent="0.3">
      <c r="A41" s="1" t="s">
        <v>676</v>
      </c>
      <c r="B41" s="1" t="s">
        <v>677</v>
      </c>
      <c r="C41" s="1" t="s">
        <v>678</v>
      </c>
      <c r="D41" s="1" t="s">
        <v>738</v>
      </c>
      <c r="E41" s="1" t="s">
        <v>739</v>
      </c>
      <c r="F41">
        <v>3</v>
      </c>
      <c r="G41">
        <v>4</v>
      </c>
      <c r="H41">
        <v>0.5</v>
      </c>
      <c r="I41">
        <v>2</v>
      </c>
      <c r="J41">
        <v>0.5</v>
      </c>
      <c r="K41">
        <v>2</v>
      </c>
      <c r="L41">
        <v>1.5</v>
      </c>
      <c r="M41">
        <v>2</v>
      </c>
      <c r="N41" s="1" t="s">
        <v>26</v>
      </c>
      <c r="O41" s="1" t="s">
        <v>27</v>
      </c>
      <c r="P41" s="1" t="s">
        <v>208</v>
      </c>
      <c r="Q41" s="1" t="s">
        <v>208</v>
      </c>
    </row>
    <row r="42" spans="1:17" hidden="1" x14ac:dyDescent="0.3">
      <c r="A42" s="1" t="s">
        <v>676</v>
      </c>
      <c r="B42" s="1" t="s">
        <v>677</v>
      </c>
      <c r="C42" s="1" t="s">
        <v>678</v>
      </c>
      <c r="D42" s="1" t="s">
        <v>316</v>
      </c>
      <c r="E42" s="1" t="s">
        <v>317</v>
      </c>
      <c r="F42">
        <v>2</v>
      </c>
      <c r="G42">
        <v>2</v>
      </c>
      <c r="H42">
        <v>0</v>
      </c>
      <c r="I42">
        <v>170</v>
      </c>
      <c r="J42">
        <v>85</v>
      </c>
      <c r="K42">
        <v>170</v>
      </c>
      <c r="L42">
        <v>170</v>
      </c>
      <c r="M42">
        <v>170</v>
      </c>
      <c r="N42" s="1" t="s">
        <v>26</v>
      </c>
      <c r="O42" s="1" t="s">
        <v>27</v>
      </c>
      <c r="P42" s="1" t="s">
        <v>208</v>
      </c>
      <c r="Q42" s="1" t="s">
        <v>208</v>
      </c>
    </row>
    <row r="43" spans="1:17" hidden="1" x14ac:dyDescent="0.3">
      <c r="A43" s="1" t="s">
        <v>676</v>
      </c>
      <c r="B43" s="1" t="s">
        <v>677</v>
      </c>
      <c r="C43" s="1" t="s">
        <v>678</v>
      </c>
      <c r="D43" s="1" t="s">
        <v>391</v>
      </c>
      <c r="E43" s="1" t="s">
        <v>839</v>
      </c>
      <c r="F43">
        <v>1</v>
      </c>
      <c r="G43">
        <v>1</v>
      </c>
      <c r="H43">
        <v>901.77</v>
      </c>
      <c r="I43">
        <v>901.77</v>
      </c>
      <c r="J43">
        <v>901.77</v>
      </c>
      <c r="K43">
        <v>901.77</v>
      </c>
      <c r="L43">
        <v>901.77</v>
      </c>
      <c r="M43">
        <v>901.77</v>
      </c>
      <c r="N43" s="1" t="s">
        <v>26</v>
      </c>
      <c r="O43" s="1" t="s">
        <v>27</v>
      </c>
      <c r="P43" s="1" t="s">
        <v>208</v>
      </c>
      <c r="Q43" s="1" t="s">
        <v>208</v>
      </c>
    </row>
    <row r="44" spans="1:17" hidden="1" x14ac:dyDescent="0.3">
      <c r="A44" s="1" t="s">
        <v>676</v>
      </c>
      <c r="B44" s="1" t="s">
        <v>677</v>
      </c>
      <c r="C44" s="1" t="s">
        <v>678</v>
      </c>
      <c r="D44" s="1" t="s">
        <v>740</v>
      </c>
      <c r="E44" s="1" t="s">
        <v>741</v>
      </c>
      <c r="F44">
        <v>1</v>
      </c>
      <c r="G44">
        <v>1</v>
      </c>
      <c r="H44">
        <v>1.71</v>
      </c>
      <c r="I44">
        <v>1.71</v>
      </c>
      <c r="J44">
        <v>1.71</v>
      </c>
      <c r="K44">
        <v>1.71</v>
      </c>
      <c r="L44">
        <v>1.71</v>
      </c>
      <c r="M44">
        <v>1.71</v>
      </c>
      <c r="N44" s="1" t="s">
        <v>26</v>
      </c>
      <c r="O44" s="1" t="s">
        <v>27</v>
      </c>
      <c r="P44" s="1" t="s">
        <v>208</v>
      </c>
      <c r="Q44" s="1" t="s">
        <v>208</v>
      </c>
    </row>
    <row r="45" spans="1:17" hidden="1" x14ac:dyDescent="0.3">
      <c r="A45" s="1" t="s">
        <v>676</v>
      </c>
      <c r="B45" s="1" t="s">
        <v>677</v>
      </c>
      <c r="C45" s="1" t="s">
        <v>678</v>
      </c>
      <c r="D45" s="1" t="s">
        <v>355</v>
      </c>
      <c r="E45" s="1" t="s">
        <v>356</v>
      </c>
      <c r="F45">
        <v>2</v>
      </c>
      <c r="G45">
        <v>2</v>
      </c>
      <c r="H45">
        <v>67</v>
      </c>
      <c r="I45">
        <v>134</v>
      </c>
      <c r="J45">
        <v>67</v>
      </c>
      <c r="K45">
        <v>134</v>
      </c>
      <c r="L45">
        <v>134</v>
      </c>
      <c r="M45">
        <v>134</v>
      </c>
      <c r="N45" s="1" t="s">
        <v>26</v>
      </c>
      <c r="O45" s="1" t="s">
        <v>27</v>
      </c>
      <c r="P45" s="1" t="s">
        <v>208</v>
      </c>
      <c r="Q45" s="1" t="s">
        <v>208</v>
      </c>
    </row>
    <row r="46" spans="1:17" hidden="1" x14ac:dyDescent="0.3">
      <c r="A46" s="1" t="s">
        <v>676</v>
      </c>
      <c r="B46" s="1" t="s">
        <v>677</v>
      </c>
      <c r="C46" s="1" t="s">
        <v>678</v>
      </c>
      <c r="D46" s="1" t="s">
        <v>293</v>
      </c>
      <c r="E46" s="1" t="s">
        <v>294</v>
      </c>
      <c r="F46">
        <v>3</v>
      </c>
      <c r="G46">
        <v>3</v>
      </c>
      <c r="H46">
        <v>38.25</v>
      </c>
      <c r="I46">
        <v>114.75</v>
      </c>
      <c r="J46">
        <v>38.25</v>
      </c>
      <c r="K46">
        <v>114.75</v>
      </c>
      <c r="L46">
        <v>114.75</v>
      </c>
      <c r="M46">
        <v>114.75</v>
      </c>
      <c r="N46" s="1" t="s">
        <v>26</v>
      </c>
      <c r="O46" s="1" t="s">
        <v>27</v>
      </c>
      <c r="P46" s="1" t="s">
        <v>208</v>
      </c>
      <c r="Q46" s="1" t="s">
        <v>208</v>
      </c>
    </row>
    <row r="47" spans="1:17" hidden="1" x14ac:dyDescent="0.3">
      <c r="A47" s="1" t="s">
        <v>676</v>
      </c>
      <c r="B47" s="1" t="s">
        <v>677</v>
      </c>
      <c r="C47" s="1" t="s">
        <v>678</v>
      </c>
      <c r="D47" s="1" t="s">
        <v>295</v>
      </c>
      <c r="E47" s="1" t="s">
        <v>296</v>
      </c>
      <c r="F47">
        <v>1</v>
      </c>
      <c r="G47">
        <v>1</v>
      </c>
      <c r="H47">
        <v>8.89</v>
      </c>
      <c r="I47">
        <v>8.89</v>
      </c>
      <c r="J47">
        <v>8.89</v>
      </c>
      <c r="K47">
        <v>8.89</v>
      </c>
      <c r="L47">
        <v>8.89</v>
      </c>
      <c r="M47">
        <v>8.89</v>
      </c>
      <c r="N47" s="1" t="s">
        <v>26</v>
      </c>
      <c r="O47" s="1" t="s">
        <v>27</v>
      </c>
      <c r="P47" s="1" t="s">
        <v>208</v>
      </c>
      <c r="Q47" s="1" t="s">
        <v>208</v>
      </c>
    </row>
    <row r="48" spans="1:17" hidden="1" x14ac:dyDescent="0.3">
      <c r="A48" s="1" t="s">
        <v>676</v>
      </c>
      <c r="B48" s="1" t="s">
        <v>677</v>
      </c>
      <c r="C48" s="1" t="s">
        <v>678</v>
      </c>
      <c r="D48" s="1" t="s">
        <v>302</v>
      </c>
      <c r="E48" s="1" t="s">
        <v>303</v>
      </c>
      <c r="F48">
        <v>18</v>
      </c>
      <c r="G48">
        <v>18</v>
      </c>
      <c r="H48">
        <v>9.52</v>
      </c>
      <c r="I48">
        <v>171.36</v>
      </c>
      <c r="J48">
        <v>9.52</v>
      </c>
      <c r="K48">
        <v>171.36</v>
      </c>
      <c r="L48">
        <v>171.36</v>
      </c>
      <c r="M48">
        <v>171.36</v>
      </c>
      <c r="N48" s="1" t="s">
        <v>26</v>
      </c>
      <c r="O48" s="1" t="s">
        <v>27</v>
      </c>
      <c r="P48" s="1" t="s">
        <v>208</v>
      </c>
      <c r="Q48" s="1" t="s">
        <v>208</v>
      </c>
    </row>
    <row r="49" spans="1:17" hidden="1" x14ac:dyDescent="0.3">
      <c r="A49" s="1" t="s">
        <v>676</v>
      </c>
      <c r="B49" s="1" t="s">
        <v>677</v>
      </c>
      <c r="C49" s="1" t="s">
        <v>678</v>
      </c>
      <c r="D49" s="1" t="s">
        <v>287</v>
      </c>
      <c r="E49" s="1" t="s">
        <v>288</v>
      </c>
      <c r="F49">
        <v>1</v>
      </c>
      <c r="G49">
        <v>1</v>
      </c>
      <c r="H49">
        <v>0</v>
      </c>
      <c r="I49">
        <v>833.35</v>
      </c>
      <c r="J49">
        <v>833.35</v>
      </c>
      <c r="K49">
        <v>833.35</v>
      </c>
      <c r="L49">
        <v>833.35</v>
      </c>
      <c r="M49">
        <v>833.35</v>
      </c>
      <c r="N49" s="1" t="s">
        <v>26</v>
      </c>
      <c r="O49" s="1" t="s">
        <v>27</v>
      </c>
      <c r="P49" s="1" t="s">
        <v>208</v>
      </c>
      <c r="Q49" s="1" t="s">
        <v>208</v>
      </c>
    </row>
    <row r="50" spans="1:17" hidden="1" x14ac:dyDescent="0.3">
      <c r="A50" s="1" t="s">
        <v>202</v>
      </c>
      <c r="B50" s="1" t="s">
        <v>840</v>
      </c>
      <c r="C50" s="1" t="s">
        <v>400</v>
      </c>
      <c r="D50" s="1" t="s">
        <v>867</v>
      </c>
      <c r="E50" s="1" t="s">
        <v>868</v>
      </c>
      <c r="F50">
        <v>1</v>
      </c>
      <c r="G50">
        <v>1</v>
      </c>
      <c r="H50">
        <v>280</v>
      </c>
      <c r="I50">
        <v>280</v>
      </c>
      <c r="J50">
        <v>280</v>
      </c>
      <c r="K50">
        <v>280</v>
      </c>
      <c r="L50">
        <v>280</v>
      </c>
      <c r="M50">
        <v>280</v>
      </c>
      <c r="N50" s="1" t="s">
        <v>26</v>
      </c>
      <c r="O50" s="1" t="s">
        <v>27</v>
      </c>
      <c r="P50" s="1" t="s">
        <v>208</v>
      </c>
      <c r="Q50" s="1" t="s">
        <v>208</v>
      </c>
    </row>
    <row r="51" spans="1:17" hidden="1" x14ac:dyDescent="0.3">
      <c r="A51" s="1" t="s">
        <v>202</v>
      </c>
      <c r="B51" s="1" t="s">
        <v>840</v>
      </c>
      <c r="C51" s="1" t="s">
        <v>400</v>
      </c>
      <c r="D51" s="1" t="s">
        <v>835</v>
      </c>
      <c r="E51" s="1" t="s">
        <v>836</v>
      </c>
      <c r="F51">
        <v>1</v>
      </c>
      <c r="G51">
        <v>1</v>
      </c>
      <c r="H51">
        <v>369</v>
      </c>
      <c r="I51">
        <v>369</v>
      </c>
      <c r="J51">
        <v>369</v>
      </c>
      <c r="K51">
        <v>369</v>
      </c>
      <c r="L51">
        <v>369</v>
      </c>
      <c r="M51">
        <v>369</v>
      </c>
      <c r="N51" s="1" t="s">
        <v>26</v>
      </c>
      <c r="O51" s="1" t="s">
        <v>27</v>
      </c>
      <c r="P51" s="1" t="s">
        <v>208</v>
      </c>
      <c r="Q51" s="1" t="s">
        <v>208</v>
      </c>
    </row>
    <row r="52" spans="1:17" hidden="1" x14ac:dyDescent="0.3">
      <c r="A52" s="1" t="s">
        <v>202</v>
      </c>
      <c r="B52" s="1" t="s">
        <v>840</v>
      </c>
      <c r="C52" s="1" t="s">
        <v>400</v>
      </c>
      <c r="D52" s="1" t="s">
        <v>869</v>
      </c>
      <c r="E52" s="1" t="s">
        <v>870</v>
      </c>
      <c r="F52">
        <v>1</v>
      </c>
      <c r="G52">
        <v>1</v>
      </c>
      <c r="H52">
        <v>818</v>
      </c>
      <c r="I52">
        <v>818</v>
      </c>
      <c r="J52">
        <v>818</v>
      </c>
      <c r="K52">
        <v>818</v>
      </c>
      <c r="L52">
        <v>818</v>
      </c>
      <c r="M52">
        <v>818</v>
      </c>
      <c r="N52" s="1" t="s">
        <v>26</v>
      </c>
      <c r="O52" s="1" t="s">
        <v>27</v>
      </c>
      <c r="P52" s="1" t="s">
        <v>208</v>
      </c>
      <c r="Q52" s="1" t="s">
        <v>208</v>
      </c>
    </row>
    <row r="53" spans="1:17" hidden="1" x14ac:dyDescent="0.3">
      <c r="A53" s="1" t="s">
        <v>202</v>
      </c>
      <c r="B53" s="1" t="s">
        <v>840</v>
      </c>
      <c r="C53" s="1" t="s">
        <v>400</v>
      </c>
      <c r="D53" s="1" t="s">
        <v>316</v>
      </c>
      <c r="E53" s="1" t="s">
        <v>317</v>
      </c>
      <c r="F53">
        <v>1</v>
      </c>
      <c r="G53">
        <v>1</v>
      </c>
      <c r="H53">
        <v>85</v>
      </c>
      <c r="I53">
        <v>85</v>
      </c>
      <c r="J53">
        <v>85</v>
      </c>
      <c r="K53">
        <v>85</v>
      </c>
      <c r="L53">
        <v>85</v>
      </c>
      <c r="M53">
        <v>85</v>
      </c>
      <c r="N53" s="1" t="s">
        <v>26</v>
      </c>
      <c r="O53" s="1" t="s">
        <v>27</v>
      </c>
      <c r="P53" s="1" t="s">
        <v>208</v>
      </c>
      <c r="Q53" s="1" t="s">
        <v>208</v>
      </c>
    </row>
    <row r="54" spans="1:17" hidden="1" x14ac:dyDescent="0.3">
      <c r="A54" s="1" t="s">
        <v>202</v>
      </c>
      <c r="B54" s="1" t="s">
        <v>840</v>
      </c>
      <c r="C54" s="1" t="s">
        <v>400</v>
      </c>
      <c r="D54" s="1" t="s">
        <v>841</v>
      </c>
      <c r="E54" s="1" t="s">
        <v>842</v>
      </c>
      <c r="F54">
        <v>6</v>
      </c>
      <c r="G54">
        <v>6</v>
      </c>
      <c r="H54">
        <v>0.19</v>
      </c>
      <c r="I54">
        <v>1.1399999999999999</v>
      </c>
      <c r="J54">
        <v>0.19</v>
      </c>
      <c r="K54">
        <v>1.1399999999999999</v>
      </c>
      <c r="L54">
        <v>1.1399999999999999</v>
      </c>
      <c r="M54">
        <v>1.1399999999999999</v>
      </c>
      <c r="N54" s="1" t="s">
        <v>26</v>
      </c>
      <c r="O54" s="1" t="s">
        <v>27</v>
      </c>
      <c r="P54" s="1" t="s">
        <v>208</v>
      </c>
      <c r="Q54" s="1" t="s">
        <v>208</v>
      </c>
    </row>
    <row r="55" spans="1:17" hidden="1" x14ac:dyDescent="0.3">
      <c r="A55" s="1" t="s">
        <v>202</v>
      </c>
      <c r="B55" s="1" t="s">
        <v>840</v>
      </c>
      <c r="C55" s="1" t="s">
        <v>400</v>
      </c>
      <c r="D55" s="1" t="s">
        <v>843</v>
      </c>
      <c r="E55" s="1" t="s">
        <v>844</v>
      </c>
      <c r="F55">
        <v>8</v>
      </c>
      <c r="G55">
        <v>8</v>
      </c>
      <c r="H55">
        <v>0.17</v>
      </c>
      <c r="I55">
        <v>1.36</v>
      </c>
      <c r="J55">
        <v>0.17</v>
      </c>
      <c r="K55">
        <v>1.36</v>
      </c>
      <c r="L55">
        <v>1.36</v>
      </c>
      <c r="M55">
        <v>1.36</v>
      </c>
      <c r="N55" s="1" t="s">
        <v>26</v>
      </c>
      <c r="O55" s="1" t="s">
        <v>27</v>
      </c>
      <c r="P55" s="1" t="s">
        <v>208</v>
      </c>
      <c r="Q55" s="1" t="s">
        <v>208</v>
      </c>
    </row>
    <row r="56" spans="1:17" hidden="1" x14ac:dyDescent="0.3">
      <c r="A56" s="1" t="s">
        <v>202</v>
      </c>
      <c r="B56" s="1" t="s">
        <v>840</v>
      </c>
      <c r="C56" s="1" t="s">
        <v>400</v>
      </c>
      <c r="D56" s="1" t="s">
        <v>845</v>
      </c>
      <c r="E56" s="1" t="s">
        <v>846</v>
      </c>
      <c r="F56">
        <v>8</v>
      </c>
      <c r="G56">
        <v>8</v>
      </c>
      <c r="H56">
        <v>0.19</v>
      </c>
      <c r="I56">
        <v>1.52</v>
      </c>
      <c r="J56">
        <v>0.19</v>
      </c>
      <c r="K56">
        <v>1.52</v>
      </c>
      <c r="L56">
        <v>1.52</v>
      </c>
      <c r="M56">
        <v>1.52</v>
      </c>
      <c r="N56" s="1" t="s">
        <v>26</v>
      </c>
      <c r="O56" s="1" t="s">
        <v>27</v>
      </c>
      <c r="P56" s="1" t="s">
        <v>208</v>
      </c>
      <c r="Q56" s="1" t="s">
        <v>208</v>
      </c>
    </row>
    <row r="57" spans="1:17" hidden="1" x14ac:dyDescent="0.3">
      <c r="A57" s="1" t="s">
        <v>202</v>
      </c>
      <c r="B57" s="1" t="s">
        <v>840</v>
      </c>
      <c r="C57" s="1" t="s">
        <v>400</v>
      </c>
      <c r="D57" s="1" t="s">
        <v>871</v>
      </c>
      <c r="E57" s="1" t="s">
        <v>872</v>
      </c>
      <c r="F57">
        <v>1</v>
      </c>
      <c r="G57">
        <v>1</v>
      </c>
      <c r="H57">
        <v>270</v>
      </c>
      <c r="I57">
        <v>270</v>
      </c>
      <c r="J57">
        <v>270</v>
      </c>
      <c r="K57">
        <v>270</v>
      </c>
      <c r="L57">
        <v>270</v>
      </c>
      <c r="M57">
        <v>270</v>
      </c>
      <c r="N57" s="1" t="s">
        <v>26</v>
      </c>
      <c r="O57" s="1" t="s">
        <v>27</v>
      </c>
      <c r="P57" s="1" t="s">
        <v>208</v>
      </c>
      <c r="Q57" s="1" t="s">
        <v>208</v>
      </c>
    </row>
    <row r="58" spans="1:17" hidden="1" x14ac:dyDescent="0.3">
      <c r="A58" s="1" t="s">
        <v>202</v>
      </c>
      <c r="B58" s="1" t="s">
        <v>840</v>
      </c>
      <c r="C58" s="1" t="s">
        <v>400</v>
      </c>
      <c r="D58" s="1" t="s">
        <v>873</v>
      </c>
      <c r="E58" s="1" t="s">
        <v>874</v>
      </c>
      <c r="F58">
        <v>1</v>
      </c>
      <c r="G58">
        <v>1</v>
      </c>
      <c r="H58">
        <v>1207</v>
      </c>
      <c r="I58">
        <v>1207</v>
      </c>
      <c r="J58">
        <v>1207</v>
      </c>
      <c r="K58">
        <v>1207</v>
      </c>
      <c r="L58">
        <v>1207</v>
      </c>
      <c r="M58">
        <v>1207</v>
      </c>
      <c r="N58" s="1" t="s">
        <v>26</v>
      </c>
      <c r="O58" s="1" t="s">
        <v>27</v>
      </c>
      <c r="P58" s="1" t="s">
        <v>208</v>
      </c>
      <c r="Q58" s="1" t="s">
        <v>208</v>
      </c>
    </row>
    <row r="59" spans="1:17" hidden="1" x14ac:dyDescent="0.3">
      <c r="A59" s="1" t="s">
        <v>202</v>
      </c>
      <c r="B59" s="1" t="s">
        <v>203</v>
      </c>
      <c r="C59" s="1" t="s">
        <v>204</v>
      </c>
      <c r="D59" s="1" t="s">
        <v>320</v>
      </c>
      <c r="E59" s="1" t="s">
        <v>321</v>
      </c>
      <c r="F59">
        <v>1</v>
      </c>
      <c r="G59">
        <v>1</v>
      </c>
      <c r="H59">
        <v>0.18</v>
      </c>
      <c r="I59">
        <v>0.18</v>
      </c>
      <c r="J59">
        <v>0.18</v>
      </c>
      <c r="K59">
        <v>0.18</v>
      </c>
      <c r="L59">
        <v>0.18</v>
      </c>
      <c r="M59">
        <v>0.18</v>
      </c>
      <c r="N59" s="1" t="s">
        <v>26</v>
      </c>
      <c r="O59" s="1" t="s">
        <v>27</v>
      </c>
      <c r="P59" s="1" t="s">
        <v>192</v>
      </c>
      <c r="Q59" s="1" t="s">
        <v>208</v>
      </c>
    </row>
    <row r="60" spans="1:17" hidden="1" x14ac:dyDescent="0.3">
      <c r="A60" s="1" t="s">
        <v>202</v>
      </c>
      <c r="B60" s="1" t="s">
        <v>203</v>
      </c>
      <c r="C60" s="1" t="s">
        <v>204</v>
      </c>
      <c r="D60" s="1" t="s">
        <v>314</v>
      </c>
      <c r="E60" s="1" t="s">
        <v>315</v>
      </c>
      <c r="F60">
        <v>1</v>
      </c>
      <c r="G60">
        <v>1</v>
      </c>
      <c r="H60">
        <v>170</v>
      </c>
      <c r="I60">
        <v>170</v>
      </c>
      <c r="J60">
        <v>170</v>
      </c>
      <c r="K60">
        <v>170</v>
      </c>
      <c r="L60">
        <v>170</v>
      </c>
      <c r="M60">
        <v>170</v>
      </c>
      <c r="N60" s="1" t="s">
        <v>26</v>
      </c>
      <c r="O60" s="1" t="s">
        <v>27</v>
      </c>
      <c r="P60" s="1" t="s">
        <v>192</v>
      </c>
      <c r="Q60" s="1" t="s">
        <v>208</v>
      </c>
    </row>
    <row r="61" spans="1:17" hidden="1" x14ac:dyDescent="0.3">
      <c r="A61" s="1" t="s">
        <v>202</v>
      </c>
      <c r="B61" s="1" t="s">
        <v>203</v>
      </c>
      <c r="C61" s="1" t="s">
        <v>204</v>
      </c>
      <c r="D61" s="1" t="s">
        <v>343</v>
      </c>
      <c r="E61" s="1" t="s">
        <v>344</v>
      </c>
      <c r="F61">
        <v>5</v>
      </c>
      <c r="G61">
        <v>5</v>
      </c>
      <c r="H61">
        <v>16.440000000000001</v>
      </c>
      <c r="I61">
        <v>82.2</v>
      </c>
      <c r="J61">
        <v>16.440000000000001</v>
      </c>
      <c r="K61">
        <v>82.2</v>
      </c>
      <c r="L61">
        <v>82.2</v>
      </c>
      <c r="M61">
        <v>82.2</v>
      </c>
      <c r="N61" s="1" t="s">
        <v>26</v>
      </c>
      <c r="O61" s="1" t="s">
        <v>27</v>
      </c>
      <c r="P61" s="1" t="s">
        <v>192</v>
      </c>
      <c r="Q61" s="1" t="s">
        <v>208</v>
      </c>
    </row>
    <row r="62" spans="1:17" hidden="1" x14ac:dyDescent="0.3">
      <c r="A62" s="1" t="s">
        <v>202</v>
      </c>
      <c r="B62" s="1" t="s">
        <v>203</v>
      </c>
      <c r="C62" s="1" t="s">
        <v>204</v>
      </c>
      <c r="D62" s="1" t="s">
        <v>300</v>
      </c>
      <c r="E62" s="1" t="s">
        <v>301</v>
      </c>
      <c r="F62">
        <v>1</v>
      </c>
      <c r="G62">
        <v>1</v>
      </c>
      <c r="H62">
        <v>6865</v>
      </c>
      <c r="I62">
        <v>6865</v>
      </c>
      <c r="J62">
        <v>6865</v>
      </c>
      <c r="K62">
        <v>6865</v>
      </c>
      <c r="L62">
        <v>6865</v>
      </c>
      <c r="M62">
        <v>6865</v>
      </c>
      <c r="N62" s="1" t="s">
        <v>26</v>
      </c>
      <c r="O62" s="1" t="s">
        <v>27</v>
      </c>
      <c r="P62" s="1" t="s">
        <v>192</v>
      </c>
      <c r="Q62" s="1" t="s">
        <v>208</v>
      </c>
    </row>
    <row r="63" spans="1:17" hidden="1" x14ac:dyDescent="0.3">
      <c r="A63" s="1" t="s">
        <v>202</v>
      </c>
      <c r="B63" s="1" t="s">
        <v>203</v>
      </c>
      <c r="C63" s="1" t="s">
        <v>204</v>
      </c>
      <c r="D63" s="1" t="s">
        <v>833</v>
      </c>
      <c r="E63" s="1" t="s">
        <v>834</v>
      </c>
      <c r="F63">
        <v>1</v>
      </c>
      <c r="G63">
        <v>1</v>
      </c>
      <c r="H63">
        <v>897.52</v>
      </c>
      <c r="I63">
        <v>716.41</v>
      </c>
      <c r="J63">
        <v>716.41</v>
      </c>
      <c r="K63">
        <v>716.41</v>
      </c>
      <c r="L63">
        <v>716.41</v>
      </c>
      <c r="M63">
        <v>716.41</v>
      </c>
      <c r="N63" s="1" t="s">
        <v>26</v>
      </c>
      <c r="O63" s="1" t="s">
        <v>27</v>
      </c>
      <c r="P63" s="1" t="s">
        <v>192</v>
      </c>
      <c r="Q63" s="1" t="s">
        <v>208</v>
      </c>
    </row>
    <row r="64" spans="1:17" hidden="1" x14ac:dyDescent="0.3">
      <c r="A64" s="1" t="s">
        <v>202</v>
      </c>
      <c r="B64" s="1" t="s">
        <v>203</v>
      </c>
      <c r="C64" s="1" t="s">
        <v>204</v>
      </c>
      <c r="D64" s="1" t="s">
        <v>333</v>
      </c>
      <c r="E64" s="1" t="s">
        <v>334</v>
      </c>
      <c r="F64">
        <v>18</v>
      </c>
      <c r="G64">
        <v>18</v>
      </c>
      <c r="H64">
        <v>0.16</v>
      </c>
      <c r="I64">
        <v>2.88</v>
      </c>
      <c r="J64">
        <v>0.16</v>
      </c>
      <c r="K64">
        <v>2.88</v>
      </c>
      <c r="L64">
        <v>2.88</v>
      </c>
      <c r="M64">
        <v>2.88</v>
      </c>
      <c r="N64" s="1" t="s">
        <v>26</v>
      </c>
      <c r="O64" s="1" t="s">
        <v>27</v>
      </c>
      <c r="P64" s="1" t="s">
        <v>192</v>
      </c>
      <c r="Q64" s="1" t="s">
        <v>208</v>
      </c>
    </row>
    <row r="65" spans="1:17" hidden="1" x14ac:dyDescent="0.3">
      <c r="A65" s="1" t="s">
        <v>202</v>
      </c>
      <c r="B65" s="1" t="s">
        <v>203</v>
      </c>
      <c r="C65" s="1" t="s">
        <v>204</v>
      </c>
      <c r="D65" s="1" t="s">
        <v>327</v>
      </c>
      <c r="E65" s="1" t="s">
        <v>328</v>
      </c>
      <c r="F65">
        <v>1</v>
      </c>
      <c r="G65">
        <v>1</v>
      </c>
      <c r="H65">
        <v>0.36</v>
      </c>
      <c r="I65">
        <v>0.36</v>
      </c>
      <c r="J65">
        <v>0.36</v>
      </c>
      <c r="K65">
        <v>0.36</v>
      </c>
      <c r="L65">
        <v>0.36</v>
      </c>
      <c r="M65">
        <v>0.36</v>
      </c>
      <c r="N65" s="1" t="s">
        <v>26</v>
      </c>
      <c r="O65" s="1" t="s">
        <v>27</v>
      </c>
      <c r="P65" s="1" t="s">
        <v>192</v>
      </c>
      <c r="Q65" s="1" t="s">
        <v>208</v>
      </c>
    </row>
    <row r="66" spans="1:17" hidden="1" x14ac:dyDescent="0.3">
      <c r="A66" s="1" t="s">
        <v>202</v>
      </c>
      <c r="B66" s="1" t="s">
        <v>203</v>
      </c>
      <c r="C66" s="1" t="s">
        <v>204</v>
      </c>
      <c r="D66" s="1" t="s">
        <v>306</v>
      </c>
      <c r="E66" s="1" t="s">
        <v>307</v>
      </c>
      <c r="F66">
        <v>2</v>
      </c>
      <c r="G66">
        <v>2</v>
      </c>
      <c r="H66">
        <v>490</v>
      </c>
      <c r="I66">
        <v>980</v>
      </c>
      <c r="J66">
        <v>490</v>
      </c>
      <c r="K66">
        <v>980</v>
      </c>
      <c r="L66">
        <v>980</v>
      </c>
      <c r="M66">
        <v>980</v>
      </c>
      <c r="N66" s="1" t="s">
        <v>26</v>
      </c>
      <c r="O66" s="1" t="s">
        <v>27</v>
      </c>
      <c r="P66" s="1" t="s">
        <v>192</v>
      </c>
      <c r="Q66" s="1" t="s">
        <v>208</v>
      </c>
    </row>
    <row r="67" spans="1:17" hidden="1" x14ac:dyDescent="0.3">
      <c r="A67" s="1" t="s">
        <v>202</v>
      </c>
      <c r="B67" s="1" t="s">
        <v>203</v>
      </c>
      <c r="C67" s="1" t="s">
        <v>204</v>
      </c>
      <c r="D67" s="1" t="s">
        <v>339</v>
      </c>
      <c r="E67" s="1" t="s">
        <v>340</v>
      </c>
      <c r="F67">
        <v>1</v>
      </c>
      <c r="G67">
        <v>1</v>
      </c>
      <c r="H67">
        <v>40.700000000000003</v>
      </c>
      <c r="I67">
        <v>40.700000000000003</v>
      </c>
      <c r="J67">
        <v>40.700000000000003</v>
      </c>
      <c r="K67">
        <v>40.700000000000003</v>
      </c>
      <c r="L67">
        <v>40.700000000000003</v>
      </c>
      <c r="M67">
        <v>40.700000000000003</v>
      </c>
      <c r="N67" s="1" t="s">
        <v>26</v>
      </c>
      <c r="O67" s="1" t="s">
        <v>27</v>
      </c>
      <c r="P67" s="1" t="s">
        <v>192</v>
      </c>
      <c r="Q67" s="1" t="s">
        <v>208</v>
      </c>
    </row>
    <row r="68" spans="1:17" hidden="1" x14ac:dyDescent="0.3">
      <c r="A68" s="1" t="s">
        <v>202</v>
      </c>
      <c r="B68" s="1" t="s">
        <v>203</v>
      </c>
      <c r="C68" s="1" t="s">
        <v>204</v>
      </c>
      <c r="D68" s="1" t="s">
        <v>310</v>
      </c>
      <c r="E68" s="1" t="s">
        <v>311</v>
      </c>
      <c r="F68">
        <v>1</v>
      </c>
      <c r="G68">
        <v>1</v>
      </c>
      <c r="H68">
        <v>30.35</v>
      </c>
      <c r="I68">
        <v>30.35</v>
      </c>
      <c r="J68">
        <v>30.35</v>
      </c>
      <c r="K68">
        <v>30.35</v>
      </c>
      <c r="L68">
        <v>30.35</v>
      </c>
      <c r="M68">
        <v>30.35</v>
      </c>
      <c r="N68" s="1" t="s">
        <v>26</v>
      </c>
      <c r="O68" s="1" t="s">
        <v>27</v>
      </c>
      <c r="P68" s="1" t="s">
        <v>192</v>
      </c>
      <c r="Q68" s="1" t="s">
        <v>208</v>
      </c>
    </row>
    <row r="69" spans="1:17" hidden="1" x14ac:dyDescent="0.3">
      <c r="A69" s="1" t="s">
        <v>202</v>
      </c>
      <c r="B69" s="1" t="s">
        <v>203</v>
      </c>
      <c r="C69" s="1" t="s">
        <v>204</v>
      </c>
      <c r="D69" s="1" t="s">
        <v>353</v>
      </c>
      <c r="E69" s="1" t="s">
        <v>354</v>
      </c>
      <c r="F69">
        <v>2</v>
      </c>
      <c r="G69">
        <v>2</v>
      </c>
      <c r="H69">
        <v>2.27</v>
      </c>
      <c r="I69">
        <v>4.54</v>
      </c>
      <c r="J69">
        <v>2.27</v>
      </c>
      <c r="K69">
        <v>4.54</v>
      </c>
      <c r="L69">
        <v>4.54</v>
      </c>
      <c r="M69">
        <v>4.54</v>
      </c>
      <c r="N69" s="1" t="s">
        <v>26</v>
      </c>
      <c r="O69" s="1" t="s">
        <v>27</v>
      </c>
      <c r="P69" s="1" t="s">
        <v>192</v>
      </c>
      <c r="Q69" s="1" t="s">
        <v>208</v>
      </c>
    </row>
    <row r="70" spans="1:17" hidden="1" x14ac:dyDescent="0.3">
      <c r="A70" s="1" t="s">
        <v>202</v>
      </c>
      <c r="B70" s="1" t="s">
        <v>203</v>
      </c>
      <c r="C70" s="1" t="s">
        <v>204</v>
      </c>
      <c r="D70" s="1" t="s">
        <v>335</v>
      </c>
      <c r="E70" s="1" t="s">
        <v>336</v>
      </c>
      <c r="F70">
        <v>5</v>
      </c>
      <c r="G70">
        <v>5</v>
      </c>
      <c r="H70">
        <v>1.22</v>
      </c>
      <c r="I70">
        <v>6.1</v>
      </c>
      <c r="J70">
        <v>1.22</v>
      </c>
      <c r="K70">
        <v>6.1</v>
      </c>
      <c r="L70">
        <v>6.1</v>
      </c>
      <c r="M70">
        <v>6.1</v>
      </c>
      <c r="N70" s="1" t="s">
        <v>26</v>
      </c>
      <c r="O70" s="1" t="s">
        <v>27</v>
      </c>
      <c r="P70" s="1" t="s">
        <v>192</v>
      </c>
      <c r="Q70" s="1" t="s">
        <v>208</v>
      </c>
    </row>
    <row r="71" spans="1:17" hidden="1" x14ac:dyDescent="0.3">
      <c r="A71" s="1" t="s">
        <v>202</v>
      </c>
      <c r="B71" s="1" t="s">
        <v>203</v>
      </c>
      <c r="C71" s="1" t="s">
        <v>204</v>
      </c>
      <c r="D71" s="1" t="s">
        <v>847</v>
      </c>
      <c r="E71" s="1" t="s">
        <v>848</v>
      </c>
      <c r="F71">
        <v>1</v>
      </c>
      <c r="G71">
        <v>1</v>
      </c>
      <c r="H71">
        <v>33096.415999999997</v>
      </c>
      <c r="I71">
        <v>53001.04</v>
      </c>
      <c r="J71">
        <v>53001.046000000002</v>
      </c>
      <c r="K71">
        <v>53001.046000000002</v>
      </c>
      <c r="L71">
        <v>53001.046000000002</v>
      </c>
      <c r="M71">
        <v>53001.046000000002</v>
      </c>
      <c r="N71" s="1" t="s">
        <v>26</v>
      </c>
      <c r="O71" s="1" t="s">
        <v>27</v>
      </c>
      <c r="P71" s="1" t="s">
        <v>192</v>
      </c>
      <c r="Q71" s="1" t="s">
        <v>208</v>
      </c>
    </row>
    <row r="72" spans="1:17" hidden="1" x14ac:dyDescent="0.3">
      <c r="A72" s="1" t="s">
        <v>202</v>
      </c>
      <c r="B72" s="1" t="s">
        <v>203</v>
      </c>
      <c r="C72" s="1" t="s">
        <v>204</v>
      </c>
      <c r="D72" s="1" t="s">
        <v>320</v>
      </c>
      <c r="E72" s="1" t="s">
        <v>321</v>
      </c>
      <c r="F72">
        <v>4</v>
      </c>
      <c r="G72">
        <v>4</v>
      </c>
      <c r="H72">
        <v>0.18</v>
      </c>
      <c r="I72">
        <v>0.72</v>
      </c>
      <c r="J72">
        <v>0.18</v>
      </c>
      <c r="K72">
        <v>0.72</v>
      </c>
      <c r="L72">
        <v>0.72</v>
      </c>
      <c r="M72">
        <v>0.72</v>
      </c>
      <c r="N72" s="1" t="s">
        <v>26</v>
      </c>
      <c r="O72" s="1" t="s">
        <v>27</v>
      </c>
      <c r="P72" s="1" t="s">
        <v>192</v>
      </c>
      <c r="Q72" s="1" t="s">
        <v>208</v>
      </c>
    </row>
    <row r="73" spans="1:17" hidden="1" x14ac:dyDescent="0.3">
      <c r="A73" s="1" t="s">
        <v>202</v>
      </c>
      <c r="B73" s="1" t="s">
        <v>203</v>
      </c>
      <c r="C73" s="1" t="s">
        <v>204</v>
      </c>
      <c r="D73" s="1" t="s">
        <v>287</v>
      </c>
      <c r="E73" s="1" t="s">
        <v>288</v>
      </c>
      <c r="F73">
        <v>1</v>
      </c>
      <c r="G73">
        <v>1</v>
      </c>
      <c r="H73">
        <v>0</v>
      </c>
      <c r="I73">
        <v>833.35</v>
      </c>
      <c r="J73">
        <v>833.35</v>
      </c>
      <c r="K73">
        <v>833.35</v>
      </c>
      <c r="L73">
        <v>833.35</v>
      </c>
      <c r="M73">
        <v>833.35</v>
      </c>
      <c r="N73" s="1" t="s">
        <v>26</v>
      </c>
      <c r="O73" s="1" t="s">
        <v>27</v>
      </c>
      <c r="P73" s="1" t="s">
        <v>192</v>
      </c>
      <c r="Q73" s="1" t="s">
        <v>208</v>
      </c>
    </row>
    <row r="74" spans="1:17" hidden="1" x14ac:dyDescent="0.3">
      <c r="A74" s="1" t="s">
        <v>202</v>
      </c>
      <c r="B74" s="1" t="s">
        <v>203</v>
      </c>
      <c r="C74" s="1" t="s">
        <v>204</v>
      </c>
      <c r="D74" s="1" t="s">
        <v>289</v>
      </c>
      <c r="E74" s="1" t="s">
        <v>290</v>
      </c>
      <c r="F74">
        <v>1</v>
      </c>
      <c r="G74">
        <v>1</v>
      </c>
      <c r="H74">
        <v>16.75</v>
      </c>
      <c r="I74">
        <v>16.75</v>
      </c>
      <c r="J74">
        <v>16.75</v>
      </c>
      <c r="K74">
        <v>16.75</v>
      </c>
      <c r="L74">
        <v>16.75</v>
      </c>
      <c r="M74">
        <v>16.75</v>
      </c>
      <c r="N74" s="1" t="s">
        <v>26</v>
      </c>
      <c r="O74" s="1" t="s">
        <v>27</v>
      </c>
      <c r="P74" s="1" t="s">
        <v>192</v>
      </c>
      <c r="Q74" s="1" t="s">
        <v>208</v>
      </c>
    </row>
    <row r="75" spans="1:17" hidden="1" x14ac:dyDescent="0.3">
      <c r="A75" s="1" t="s">
        <v>202</v>
      </c>
      <c r="B75" s="1" t="s">
        <v>203</v>
      </c>
      <c r="C75" s="1" t="s">
        <v>204</v>
      </c>
      <c r="D75" s="1" t="s">
        <v>351</v>
      </c>
      <c r="E75" s="1" t="s">
        <v>352</v>
      </c>
      <c r="F75">
        <v>4</v>
      </c>
      <c r="G75">
        <v>4</v>
      </c>
      <c r="H75">
        <v>34.61</v>
      </c>
      <c r="I75">
        <v>138.44</v>
      </c>
      <c r="J75">
        <v>34.61</v>
      </c>
      <c r="K75">
        <v>138.44</v>
      </c>
      <c r="L75">
        <v>138.44</v>
      </c>
      <c r="M75">
        <v>138.44</v>
      </c>
      <c r="N75" s="1" t="s">
        <v>26</v>
      </c>
      <c r="O75" s="1" t="s">
        <v>27</v>
      </c>
      <c r="P75" s="1" t="s">
        <v>192</v>
      </c>
      <c r="Q75" s="1" t="s">
        <v>208</v>
      </c>
    </row>
    <row r="76" spans="1:17" hidden="1" x14ac:dyDescent="0.3">
      <c r="A76" s="1" t="s">
        <v>202</v>
      </c>
      <c r="B76" s="1" t="s">
        <v>203</v>
      </c>
      <c r="C76" s="1" t="s">
        <v>204</v>
      </c>
      <c r="D76" s="1" t="s">
        <v>298</v>
      </c>
      <c r="E76" s="1" t="s">
        <v>299</v>
      </c>
      <c r="F76">
        <v>3600</v>
      </c>
      <c r="G76">
        <v>3600</v>
      </c>
      <c r="H76">
        <v>0.13</v>
      </c>
      <c r="I76">
        <v>468</v>
      </c>
      <c r="J76">
        <v>0.13</v>
      </c>
      <c r="K76">
        <v>468</v>
      </c>
      <c r="L76">
        <v>468</v>
      </c>
      <c r="M76">
        <v>468</v>
      </c>
      <c r="N76" s="1" t="s">
        <v>26</v>
      </c>
      <c r="O76" s="1" t="s">
        <v>27</v>
      </c>
      <c r="P76" s="1" t="s">
        <v>192</v>
      </c>
      <c r="Q76" s="1" t="s">
        <v>208</v>
      </c>
    </row>
    <row r="77" spans="1:17" hidden="1" x14ac:dyDescent="0.3">
      <c r="A77" s="1" t="s">
        <v>202</v>
      </c>
      <c r="B77" s="1" t="s">
        <v>203</v>
      </c>
      <c r="C77" s="1" t="s">
        <v>204</v>
      </c>
      <c r="D77" s="1" t="s">
        <v>849</v>
      </c>
      <c r="E77" s="1" t="s">
        <v>850</v>
      </c>
      <c r="F77">
        <v>1</v>
      </c>
      <c r="G77">
        <v>1</v>
      </c>
      <c r="H77">
        <v>280003.06</v>
      </c>
      <c r="I77">
        <v>321565.62</v>
      </c>
      <c r="J77">
        <v>321565.62</v>
      </c>
      <c r="K77">
        <v>321565.62</v>
      </c>
      <c r="L77">
        <v>321565.62</v>
      </c>
      <c r="M77">
        <v>321565.62</v>
      </c>
      <c r="N77" s="1" t="s">
        <v>26</v>
      </c>
      <c r="O77" s="1" t="s">
        <v>27</v>
      </c>
      <c r="P77" s="1" t="s">
        <v>192</v>
      </c>
      <c r="Q77" s="1" t="s">
        <v>208</v>
      </c>
    </row>
    <row r="78" spans="1:17" hidden="1" x14ac:dyDescent="0.3">
      <c r="A78" s="1" t="s">
        <v>202</v>
      </c>
      <c r="B78" s="1" t="s">
        <v>203</v>
      </c>
      <c r="C78" s="1" t="s">
        <v>204</v>
      </c>
      <c r="D78" s="1" t="s">
        <v>325</v>
      </c>
      <c r="E78" s="1" t="s">
        <v>326</v>
      </c>
      <c r="F78">
        <v>6</v>
      </c>
      <c r="G78">
        <v>6</v>
      </c>
      <c r="H78">
        <v>27.81</v>
      </c>
      <c r="I78">
        <v>166.86</v>
      </c>
      <c r="J78">
        <v>27.81</v>
      </c>
      <c r="K78">
        <v>166.86</v>
      </c>
      <c r="L78">
        <v>166.86</v>
      </c>
      <c r="M78">
        <v>166.86</v>
      </c>
      <c r="N78" s="1" t="s">
        <v>26</v>
      </c>
      <c r="O78" s="1" t="s">
        <v>27</v>
      </c>
      <c r="P78" s="1" t="s">
        <v>192</v>
      </c>
      <c r="Q78" s="1" t="s">
        <v>208</v>
      </c>
    </row>
    <row r="79" spans="1:17" hidden="1" x14ac:dyDescent="0.3">
      <c r="A79" s="1" t="s">
        <v>202</v>
      </c>
      <c r="B79" s="1" t="s">
        <v>203</v>
      </c>
      <c r="C79" s="1" t="s">
        <v>204</v>
      </c>
      <c r="D79" s="1" t="s">
        <v>347</v>
      </c>
      <c r="E79" s="1" t="s">
        <v>348</v>
      </c>
      <c r="F79">
        <v>1</v>
      </c>
      <c r="G79">
        <v>1</v>
      </c>
      <c r="H79">
        <v>158.91</v>
      </c>
      <c r="I79">
        <v>158.91</v>
      </c>
      <c r="J79">
        <v>158.91</v>
      </c>
      <c r="K79">
        <v>158.91</v>
      </c>
      <c r="L79">
        <v>158.91</v>
      </c>
      <c r="M79">
        <v>158.91</v>
      </c>
      <c r="N79" s="1" t="s">
        <v>26</v>
      </c>
      <c r="O79" s="1" t="s">
        <v>27</v>
      </c>
      <c r="P79" s="1" t="s">
        <v>192</v>
      </c>
      <c r="Q79" s="1" t="s">
        <v>208</v>
      </c>
    </row>
    <row r="80" spans="1:17" hidden="1" x14ac:dyDescent="0.3">
      <c r="A80" s="1" t="s">
        <v>202</v>
      </c>
      <c r="B80" s="1" t="s">
        <v>203</v>
      </c>
      <c r="C80" s="1" t="s">
        <v>204</v>
      </c>
      <c r="D80" s="1" t="s">
        <v>262</v>
      </c>
      <c r="E80" s="1" t="s">
        <v>297</v>
      </c>
      <c r="F80">
        <v>3</v>
      </c>
      <c r="G80">
        <v>3</v>
      </c>
      <c r="H80">
        <v>0</v>
      </c>
      <c r="I80">
        <v>0</v>
      </c>
      <c r="J80">
        <v>0</v>
      </c>
      <c r="K80">
        <v>0</v>
      </c>
      <c r="L80">
        <v>0</v>
      </c>
      <c r="M80">
        <v>0</v>
      </c>
      <c r="N80" s="1" t="s">
        <v>26</v>
      </c>
      <c r="O80" s="1" t="s">
        <v>27</v>
      </c>
      <c r="P80" s="1" t="s">
        <v>192</v>
      </c>
      <c r="Q80" s="1" t="s">
        <v>208</v>
      </c>
    </row>
    <row r="81" spans="1:17" hidden="1" x14ac:dyDescent="0.3">
      <c r="A81" s="1" t="s">
        <v>202</v>
      </c>
      <c r="B81" s="1" t="s">
        <v>203</v>
      </c>
      <c r="C81" s="1" t="s">
        <v>204</v>
      </c>
      <c r="D81" s="1" t="s">
        <v>323</v>
      </c>
      <c r="E81" s="1" t="s">
        <v>324</v>
      </c>
      <c r="F81">
        <v>1</v>
      </c>
      <c r="G81">
        <v>1</v>
      </c>
      <c r="H81">
        <v>2.0499999999999998</v>
      </c>
      <c r="I81">
        <v>2.0499999999999998</v>
      </c>
      <c r="J81">
        <v>2.0499999999999998</v>
      </c>
      <c r="K81">
        <v>2.0499999999999998</v>
      </c>
      <c r="L81">
        <v>2.0499999999999998</v>
      </c>
      <c r="M81">
        <v>2.0499999999999998</v>
      </c>
      <c r="N81" s="1" t="s">
        <v>26</v>
      </c>
      <c r="O81" s="1" t="s">
        <v>27</v>
      </c>
      <c r="P81" s="1" t="s">
        <v>192</v>
      </c>
      <c r="Q81" s="1" t="s">
        <v>208</v>
      </c>
    </row>
    <row r="82" spans="1:17" hidden="1" x14ac:dyDescent="0.3">
      <c r="A82" s="1" t="s">
        <v>202</v>
      </c>
      <c r="B82" s="1" t="s">
        <v>203</v>
      </c>
      <c r="C82" s="1" t="s">
        <v>204</v>
      </c>
      <c r="D82" s="1" t="s">
        <v>329</v>
      </c>
      <c r="E82" s="1" t="s">
        <v>330</v>
      </c>
      <c r="F82">
        <v>2</v>
      </c>
      <c r="G82">
        <v>2</v>
      </c>
      <c r="H82">
        <v>14.38</v>
      </c>
      <c r="I82">
        <v>28.76</v>
      </c>
      <c r="J82">
        <v>14.38</v>
      </c>
      <c r="K82">
        <v>28.76</v>
      </c>
      <c r="L82">
        <v>28.76</v>
      </c>
      <c r="M82">
        <v>28.76</v>
      </c>
      <c r="N82" s="1" t="s">
        <v>26</v>
      </c>
      <c r="O82" s="1" t="s">
        <v>27</v>
      </c>
      <c r="P82" s="1" t="s">
        <v>192</v>
      </c>
      <c r="Q82" s="1" t="s">
        <v>208</v>
      </c>
    </row>
    <row r="83" spans="1:17" hidden="1" x14ac:dyDescent="0.3">
      <c r="A83" s="1" t="s">
        <v>202</v>
      </c>
      <c r="B83" s="1" t="s">
        <v>203</v>
      </c>
      <c r="C83" s="1" t="s">
        <v>204</v>
      </c>
      <c r="D83" s="1" t="s">
        <v>851</v>
      </c>
      <c r="E83" s="1" t="s">
        <v>852</v>
      </c>
      <c r="F83">
        <v>1</v>
      </c>
      <c r="G83">
        <v>1</v>
      </c>
      <c r="H83">
        <v>688573.72569999995</v>
      </c>
      <c r="I83">
        <v>691464.97</v>
      </c>
      <c r="J83">
        <v>691464.97719999996</v>
      </c>
      <c r="K83">
        <v>691464.97719999996</v>
      </c>
      <c r="L83">
        <v>691464.97719999996</v>
      </c>
      <c r="M83">
        <v>691464.97719999996</v>
      </c>
      <c r="N83" s="1" t="s">
        <v>26</v>
      </c>
      <c r="O83" s="1" t="s">
        <v>27</v>
      </c>
      <c r="P83" s="1" t="s">
        <v>192</v>
      </c>
      <c r="Q83" s="1" t="s">
        <v>208</v>
      </c>
    </row>
    <row r="84" spans="1:17" hidden="1" x14ac:dyDescent="0.3">
      <c r="A84" s="1" t="s">
        <v>202</v>
      </c>
      <c r="B84" s="1" t="s">
        <v>203</v>
      </c>
      <c r="C84" s="1" t="s">
        <v>204</v>
      </c>
      <c r="D84" s="1" t="s">
        <v>291</v>
      </c>
      <c r="E84" s="1" t="s">
        <v>292</v>
      </c>
      <c r="F84">
        <v>1</v>
      </c>
      <c r="G84">
        <v>1</v>
      </c>
      <c r="H84">
        <v>291</v>
      </c>
      <c r="I84">
        <v>291</v>
      </c>
      <c r="J84">
        <v>291</v>
      </c>
      <c r="K84">
        <v>291</v>
      </c>
      <c r="L84">
        <v>291</v>
      </c>
      <c r="M84">
        <v>291</v>
      </c>
      <c r="N84" s="1" t="s">
        <v>26</v>
      </c>
      <c r="O84" s="1" t="s">
        <v>27</v>
      </c>
      <c r="P84" s="1" t="s">
        <v>192</v>
      </c>
      <c r="Q84" s="1" t="s">
        <v>208</v>
      </c>
    </row>
    <row r="85" spans="1:17" hidden="1" x14ac:dyDescent="0.3">
      <c r="A85" s="1" t="s">
        <v>202</v>
      </c>
      <c r="B85" s="1" t="s">
        <v>203</v>
      </c>
      <c r="C85" s="1" t="s">
        <v>204</v>
      </c>
      <c r="D85" s="1" t="s">
        <v>349</v>
      </c>
      <c r="E85" s="1" t="s">
        <v>350</v>
      </c>
      <c r="F85">
        <v>2</v>
      </c>
      <c r="G85">
        <v>2</v>
      </c>
      <c r="H85">
        <v>14.83</v>
      </c>
      <c r="I85">
        <v>29.66</v>
      </c>
      <c r="J85">
        <v>14.83</v>
      </c>
      <c r="K85">
        <v>29.66</v>
      </c>
      <c r="L85">
        <v>29.66</v>
      </c>
      <c r="M85">
        <v>29.66</v>
      </c>
      <c r="N85" s="1" t="s">
        <v>26</v>
      </c>
      <c r="O85" s="1" t="s">
        <v>27</v>
      </c>
      <c r="P85" s="1" t="s">
        <v>192</v>
      </c>
      <c r="Q85" s="1" t="s">
        <v>208</v>
      </c>
    </row>
    <row r="86" spans="1:17" hidden="1" x14ac:dyDescent="0.3">
      <c r="A86" s="1" t="s">
        <v>202</v>
      </c>
      <c r="B86" s="1" t="s">
        <v>203</v>
      </c>
      <c r="C86" s="1" t="s">
        <v>204</v>
      </c>
      <c r="D86" s="1" t="s">
        <v>391</v>
      </c>
      <c r="E86" s="1" t="s">
        <v>839</v>
      </c>
      <c r="F86">
        <v>1</v>
      </c>
      <c r="G86">
        <v>1</v>
      </c>
      <c r="H86">
        <v>901.77</v>
      </c>
      <c r="I86">
        <v>901.77</v>
      </c>
      <c r="J86">
        <v>901.77</v>
      </c>
      <c r="K86">
        <v>901.77</v>
      </c>
      <c r="L86">
        <v>901.77</v>
      </c>
      <c r="M86">
        <v>901.77</v>
      </c>
      <c r="N86" s="1" t="s">
        <v>26</v>
      </c>
      <c r="O86" s="1" t="s">
        <v>27</v>
      </c>
      <c r="P86" s="1" t="s">
        <v>192</v>
      </c>
      <c r="Q86" s="1" t="s">
        <v>208</v>
      </c>
    </row>
    <row r="87" spans="1:17" hidden="1" x14ac:dyDescent="0.3">
      <c r="A87" s="1" t="s">
        <v>202</v>
      </c>
      <c r="B87" s="1" t="s">
        <v>203</v>
      </c>
      <c r="C87" s="1" t="s">
        <v>204</v>
      </c>
      <c r="D87" s="1" t="s">
        <v>304</v>
      </c>
      <c r="E87" s="1" t="s">
        <v>305</v>
      </c>
      <c r="F87">
        <v>2</v>
      </c>
      <c r="G87">
        <v>2</v>
      </c>
      <c r="H87">
        <v>13.7</v>
      </c>
      <c r="I87">
        <v>27.4</v>
      </c>
      <c r="J87">
        <v>13.7</v>
      </c>
      <c r="K87">
        <v>27.4</v>
      </c>
      <c r="L87">
        <v>27.4</v>
      </c>
      <c r="M87">
        <v>27.4</v>
      </c>
      <c r="N87" s="1" t="s">
        <v>26</v>
      </c>
      <c r="O87" s="1" t="s">
        <v>27</v>
      </c>
      <c r="P87" s="1" t="s">
        <v>192</v>
      </c>
      <c r="Q87" s="1" t="s">
        <v>208</v>
      </c>
    </row>
    <row r="88" spans="1:17" hidden="1" x14ac:dyDescent="0.3">
      <c r="A88" s="1" t="s">
        <v>202</v>
      </c>
      <c r="B88" s="1" t="s">
        <v>203</v>
      </c>
      <c r="C88" s="1" t="s">
        <v>204</v>
      </c>
      <c r="D88" s="1" t="s">
        <v>355</v>
      </c>
      <c r="E88" s="1" t="s">
        <v>356</v>
      </c>
      <c r="F88">
        <v>2</v>
      </c>
      <c r="G88">
        <v>2</v>
      </c>
      <c r="H88">
        <v>67</v>
      </c>
      <c r="I88">
        <v>134</v>
      </c>
      <c r="J88">
        <v>67</v>
      </c>
      <c r="K88">
        <v>134</v>
      </c>
      <c r="L88">
        <v>134</v>
      </c>
      <c r="M88">
        <v>134</v>
      </c>
      <c r="N88" s="1" t="s">
        <v>26</v>
      </c>
      <c r="O88" s="1" t="s">
        <v>27</v>
      </c>
      <c r="P88" s="1" t="s">
        <v>192</v>
      </c>
      <c r="Q88" s="1" t="s">
        <v>208</v>
      </c>
    </row>
    <row r="89" spans="1:17" hidden="1" x14ac:dyDescent="0.3">
      <c r="A89" s="1" t="s">
        <v>202</v>
      </c>
      <c r="B89" s="1" t="s">
        <v>203</v>
      </c>
      <c r="C89" s="1" t="s">
        <v>204</v>
      </c>
      <c r="D89" s="1" t="s">
        <v>308</v>
      </c>
      <c r="E89" s="1" t="s">
        <v>309</v>
      </c>
      <c r="F89">
        <v>1</v>
      </c>
      <c r="G89">
        <v>1</v>
      </c>
      <c r="H89">
        <v>0</v>
      </c>
      <c r="I89">
        <v>0</v>
      </c>
      <c r="J89">
        <v>0</v>
      </c>
      <c r="K89">
        <v>0</v>
      </c>
      <c r="L89">
        <v>0</v>
      </c>
      <c r="M89">
        <v>0</v>
      </c>
      <c r="N89" s="1" t="s">
        <v>26</v>
      </c>
      <c r="O89" s="1" t="s">
        <v>27</v>
      </c>
      <c r="P89" s="1" t="s">
        <v>192</v>
      </c>
      <c r="Q89" s="1" t="s">
        <v>208</v>
      </c>
    </row>
    <row r="90" spans="1:17" hidden="1" x14ac:dyDescent="0.3">
      <c r="A90" s="1" t="s">
        <v>202</v>
      </c>
      <c r="B90" s="1" t="s">
        <v>203</v>
      </c>
      <c r="C90" s="1" t="s">
        <v>204</v>
      </c>
      <c r="D90" s="1" t="s">
        <v>331</v>
      </c>
      <c r="E90" s="1" t="s">
        <v>332</v>
      </c>
      <c r="F90">
        <v>1</v>
      </c>
      <c r="G90">
        <v>1</v>
      </c>
      <c r="H90">
        <v>45</v>
      </c>
      <c r="I90">
        <v>45</v>
      </c>
      <c r="J90">
        <v>45</v>
      </c>
      <c r="K90">
        <v>45</v>
      </c>
      <c r="L90">
        <v>45</v>
      </c>
      <c r="M90">
        <v>45</v>
      </c>
      <c r="N90" s="1" t="s">
        <v>26</v>
      </c>
      <c r="O90" s="1" t="s">
        <v>27</v>
      </c>
      <c r="P90" s="1" t="s">
        <v>192</v>
      </c>
      <c r="Q90" s="1" t="s">
        <v>208</v>
      </c>
    </row>
    <row r="91" spans="1:17" hidden="1" x14ac:dyDescent="0.3">
      <c r="A91" s="1" t="s">
        <v>202</v>
      </c>
      <c r="B91" s="1" t="s">
        <v>203</v>
      </c>
      <c r="C91" s="1" t="s">
        <v>204</v>
      </c>
      <c r="D91" s="1" t="s">
        <v>302</v>
      </c>
      <c r="E91" s="1" t="s">
        <v>303</v>
      </c>
      <c r="F91">
        <v>18</v>
      </c>
      <c r="G91">
        <v>18</v>
      </c>
      <c r="H91">
        <v>9.52</v>
      </c>
      <c r="I91">
        <v>171.36</v>
      </c>
      <c r="J91">
        <v>9.52</v>
      </c>
      <c r="K91">
        <v>171.36</v>
      </c>
      <c r="L91">
        <v>171.36</v>
      </c>
      <c r="M91">
        <v>171.36</v>
      </c>
      <c r="N91" s="1" t="s">
        <v>26</v>
      </c>
      <c r="O91" s="1" t="s">
        <v>27</v>
      </c>
      <c r="P91" s="1" t="s">
        <v>192</v>
      </c>
      <c r="Q91" s="1" t="s">
        <v>208</v>
      </c>
    </row>
    <row r="92" spans="1:17" hidden="1" x14ac:dyDescent="0.3">
      <c r="A92" s="1" t="s">
        <v>202</v>
      </c>
      <c r="B92" s="1" t="s">
        <v>203</v>
      </c>
      <c r="C92" s="1" t="s">
        <v>204</v>
      </c>
      <c r="D92" s="1" t="s">
        <v>293</v>
      </c>
      <c r="E92" s="1" t="s">
        <v>294</v>
      </c>
      <c r="F92">
        <v>3</v>
      </c>
      <c r="G92">
        <v>3</v>
      </c>
      <c r="H92">
        <v>38.25</v>
      </c>
      <c r="I92">
        <v>114.75</v>
      </c>
      <c r="J92">
        <v>38.25</v>
      </c>
      <c r="K92">
        <v>114.75</v>
      </c>
      <c r="L92">
        <v>114.75</v>
      </c>
      <c r="M92">
        <v>114.75</v>
      </c>
      <c r="N92" s="1" t="s">
        <v>26</v>
      </c>
      <c r="O92" s="1" t="s">
        <v>27</v>
      </c>
      <c r="P92" s="1" t="s">
        <v>192</v>
      </c>
      <c r="Q92" s="1" t="s">
        <v>208</v>
      </c>
    </row>
    <row r="93" spans="1:17" hidden="1" x14ac:dyDescent="0.3">
      <c r="A93" s="1" t="s">
        <v>202</v>
      </c>
      <c r="B93" s="1" t="s">
        <v>203</v>
      </c>
      <c r="C93" s="1" t="s">
        <v>204</v>
      </c>
      <c r="D93" s="1" t="s">
        <v>318</v>
      </c>
      <c r="E93" s="1" t="s">
        <v>319</v>
      </c>
      <c r="F93">
        <v>2</v>
      </c>
      <c r="G93">
        <v>2</v>
      </c>
      <c r="H93">
        <v>804.04300000000001</v>
      </c>
      <c r="I93">
        <v>1608.09</v>
      </c>
      <c r="J93">
        <v>804.04300000000001</v>
      </c>
      <c r="K93">
        <v>1608.086</v>
      </c>
      <c r="L93">
        <v>1608.086</v>
      </c>
      <c r="M93">
        <v>1608.086</v>
      </c>
      <c r="N93" s="1" t="s">
        <v>26</v>
      </c>
      <c r="O93" s="1" t="s">
        <v>27</v>
      </c>
      <c r="P93" s="1" t="s">
        <v>192</v>
      </c>
      <c r="Q93" s="1" t="s">
        <v>208</v>
      </c>
    </row>
    <row r="94" spans="1:17" hidden="1" x14ac:dyDescent="0.3">
      <c r="A94" s="1" t="s">
        <v>202</v>
      </c>
      <c r="B94" s="1" t="s">
        <v>203</v>
      </c>
      <c r="C94" s="1" t="s">
        <v>204</v>
      </c>
      <c r="D94" s="1" t="s">
        <v>259</v>
      </c>
      <c r="E94" s="1" t="s">
        <v>322</v>
      </c>
      <c r="F94">
        <v>1</v>
      </c>
      <c r="G94">
        <v>1</v>
      </c>
      <c r="H94">
        <v>438440.34570000001</v>
      </c>
      <c r="I94">
        <v>438393.44</v>
      </c>
      <c r="J94">
        <v>438393.44569999998</v>
      </c>
      <c r="K94">
        <v>438393.44569999998</v>
      </c>
      <c r="L94">
        <v>438393.44569999998</v>
      </c>
      <c r="M94">
        <v>438393.44569999998</v>
      </c>
      <c r="N94" s="1" t="s">
        <v>26</v>
      </c>
      <c r="O94" s="1" t="s">
        <v>27</v>
      </c>
      <c r="P94" s="1" t="s">
        <v>192</v>
      </c>
      <c r="Q94" s="1" t="s">
        <v>208</v>
      </c>
    </row>
    <row r="95" spans="1:17" hidden="1" x14ac:dyDescent="0.3">
      <c r="A95" s="1" t="s">
        <v>202</v>
      </c>
      <c r="B95" s="1" t="s">
        <v>203</v>
      </c>
      <c r="C95" s="1" t="s">
        <v>204</v>
      </c>
      <c r="D95" s="1" t="s">
        <v>337</v>
      </c>
      <c r="E95" s="1" t="s">
        <v>338</v>
      </c>
      <c r="F95">
        <v>3</v>
      </c>
      <c r="G95">
        <v>3</v>
      </c>
      <c r="H95">
        <v>4.9000000000000004</v>
      </c>
      <c r="I95">
        <v>14.7</v>
      </c>
      <c r="J95">
        <v>4.9000000000000004</v>
      </c>
      <c r="K95">
        <v>14.7</v>
      </c>
      <c r="L95">
        <v>14.7</v>
      </c>
      <c r="M95">
        <v>14.7</v>
      </c>
      <c r="N95" s="1" t="s">
        <v>26</v>
      </c>
      <c r="O95" s="1" t="s">
        <v>27</v>
      </c>
      <c r="P95" s="1" t="s">
        <v>192</v>
      </c>
      <c r="Q95" s="1" t="s">
        <v>208</v>
      </c>
    </row>
    <row r="96" spans="1:17" hidden="1" x14ac:dyDescent="0.3">
      <c r="A96" s="1" t="s">
        <v>202</v>
      </c>
      <c r="B96" s="1" t="s">
        <v>203</v>
      </c>
      <c r="C96" s="1" t="s">
        <v>204</v>
      </c>
      <c r="D96" s="1" t="s">
        <v>298</v>
      </c>
      <c r="E96" s="1" t="s">
        <v>299</v>
      </c>
      <c r="F96">
        <v>7754</v>
      </c>
      <c r="G96">
        <v>7754</v>
      </c>
      <c r="H96">
        <v>0.13</v>
      </c>
      <c r="I96">
        <v>1008.02</v>
      </c>
      <c r="J96">
        <v>0.13</v>
      </c>
      <c r="K96">
        <v>1008.02</v>
      </c>
      <c r="L96">
        <v>1008.02</v>
      </c>
      <c r="M96">
        <v>1008.02</v>
      </c>
      <c r="N96" s="1" t="s">
        <v>26</v>
      </c>
      <c r="O96" s="1" t="s">
        <v>27</v>
      </c>
      <c r="P96" s="1" t="s">
        <v>192</v>
      </c>
      <c r="Q96" s="1" t="s">
        <v>208</v>
      </c>
    </row>
    <row r="97" spans="1:17" hidden="1" x14ac:dyDescent="0.3">
      <c r="A97" s="1" t="s">
        <v>202</v>
      </c>
      <c r="B97" s="1" t="s">
        <v>203</v>
      </c>
      <c r="C97" s="1" t="s">
        <v>204</v>
      </c>
      <c r="D97" s="1" t="s">
        <v>357</v>
      </c>
      <c r="E97" s="1" t="s">
        <v>358</v>
      </c>
      <c r="F97">
        <v>1</v>
      </c>
      <c r="G97">
        <v>1</v>
      </c>
      <c r="H97">
        <v>2.89</v>
      </c>
      <c r="I97">
        <v>2.89</v>
      </c>
      <c r="J97">
        <v>2.89</v>
      </c>
      <c r="K97">
        <v>2.89</v>
      </c>
      <c r="L97">
        <v>2.89</v>
      </c>
      <c r="M97">
        <v>2.89</v>
      </c>
      <c r="N97" s="1" t="s">
        <v>26</v>
      </c>
      <c r="O97" s="1" t="s">
        <v>27</v>
      </c>
      <c r="P97" s="1" t="s">
        <v>192</v>
      </c>
      <c r="Q97" s="1" t="s">
        <v>208</v>
      </c>
    </row>
    <row r="98" spans="1:17" hidden="1" x14ac:dyDescent="0.3">
      <c r="A98" s="1" t="s">
        <v>202</v>
      </c>
      <c r="B98" s="1" t="s">
        <v>203</v>
      </c>
      <c r="C98" s="1" t="s">
        <v>204</v>
      </c>
      <c r="D98" s="1" t="s">
        <v>345</v>
      </c>
      <c r="E98" s="1" t="s">
        <v>346</v>
      </c>
      <c r="F98">
        <v>2</v>
      </c>
      <c r="G98">
        <v>2</v>
      </c>
      <c r="H98">
        <v>12.33</v>
      </c>
      <c r="I98">
        <v>24.66</v>
      </c>
      <c r="J98">
        <v>12.33</v>
      </c>
      <c r="K98">
        <v>24.66</v>
      </c>
      <c r="L98">
        <v>24.66</v>
      </c>
      <c r="M98">
        <v>24.66</v>
      </c>
      <c r="N98" s="1" t="s">
        <v>26</v>
      </c>
      <c r="O98" s="1" t="s">
        <v>27</v>
      </c>
      <c r="P98" s="1" t="s">
        <v>192</v>
      </c>
      <c r="Q98" s="1" t="s">
        <v>208</v>
      </c>
    </row>
    <row r="99" spans="1:17" hidden="1" x14ac:dyDescent="0.3">
      <c r="A99" s="1" t="s">
        <v>202</v>
      </c>
      <c r="B99" s="1" t="s">
        <v>203</v>
      </c>
      <c r="C99" s="1" t="s">
        <v>204</v>
      </c>
      <c r="D99" s="1" t="s">
        <v>341</v>
      </c>
      <c r="E99" s="1" t="s">
        <v>342</v>
      </c>
      <c r="F99">
        <v>1</v>
      </c>
      <c r="G99">
        <v>1</v>
      </c>
      <c r="H99">
        <v>143.33000000000001</v>
      </c>
      <c r="I99">
        <v>143.33000000000001</v>
      </c>
      <c r="J99">
        <v>143.33000000000001</v>
      </c>
      <c r="K99">
        <v>143.33000000000001</v>
      </c>
      <c r="L99">
        <v>143.33000000000001</v>
      </c>
      <c r="M99">
        <v>143.33000000000001</v>
      </c>
      <c r="N99" s="1" t="s">
        <v>26</v>
      </c>
      <c r="O99" s="1" t="s">
        <v>27</v>
      </c>
      <c r="P99" s="1" t="s">
        <v>192</v>
      </c>
      <c r="Q99" s="1" t="s">
        <v>208</v>
      </c>
    </row>
    <row r="100" spans="1:17" hidden="1" x14ac:dyDescent="0.3">
      <c r="A100" s="1" t="s">
        <v>202</v>
      </c>
      <c r="B100" s="1" t="s">
        <v>203</v>
      </c>
      <c r="C100" s="1" t="s">
        <v>204</v>
      </c>
      <c r="D100" s="1" t="s">
        <v>295</v>
      </c>
      <c r="E100" s="1" t="s">
        <v>296</v>
      </c>
      <c r="F100">
        <v>1</v>
      </c>
      <c r="G100">
        <v>1</v>
      </c>
      <c r="H100">
        <v>8.89</v>
      </c>
      <c r="I100">
        <v>8.89</v>
      </c>
      <c r="J100">
        <v>8.89</v>
      </c>
      <c r="K100">
        <v>8.89</v>
      </c>
      <c r="L100">
        <v>8.89</v>
      </c>
      <c r="M100">
        <v>8.89</v>
      </c>
      <c r="N100" s="1" t="s">
        <v>26</v>
      </c>
      <c r="O100" s="1" t="s">
        <v>27</v>
      </c>
      <c r="P100" s="1" t="s">
        <v>192</v>
      </c>
      <c r="Q100" s="1" t="s">
        <v>208</v>
      </c>
    </row>
    <row r="101" spans="1:17" hidden="1" x14ac:dyDescent="0.3">
      <c r="A101" s="1" t="s">
        <v>202</v>
      </c>
      <c r="B101" s="1" t="s">
        <v>203</v>
      </c>
      <c r="C101" s="1" t="s">
        <v>204</v>
      </c>
      <c r="D101" s="1" t="s">
        <v>316</v>
      </c>
      <c r="E101" s="1" t="s">
        <v>317</v>
      </c>
      <c r="F101">
        <v>1</v>
      </c>
      <c r="G101">
        <v>1</v>
      </c>
      <c r="H101">
        <v>0</v>
      </c>
      <c r="I101">
        <v>85</v>
      </c>
      <c r="J101">
        <v>85</v>
      </c>
      <c r="K101">
        <v>85</v>
      </c>
      <c r="L101">
        <v>85</v>
      </c>
      <c r="M101">
        <v>85</v>
      </c>
      <c r="N101" s="1" t="s">
        <v>26</v>
      </c>
      <c r="O101" s="1" t="s">
        <v>27</v>
      </c>
      <c r="P101" s="1" t="s">
        <v>192</v>
      </c>
      <c r="Q101" s="1" t="s">
        <v>208</v>
      </c>
    </row>
    <row r="102" spans="1:17" hidden="1" x14ac:dyDescent="0.3">
      <c r="A102" s="1" t="s">
        <v>202</v>
      </c>
      <c r="B102" s="1" t="s">
        <v>203</v>
      </c>
      <c r="C102" s="1" t="s">
        <v>204</v>
      </c>
      <c r="D102" s="1" t="s">
        <v>312</v>
      </c>
      <c r="E102" s="1" t="s">
        <v>313</v>
      </c>
      <c r="F102">
        <v>1</v>
      </c>
      <c r="G102">
        <v>1</v>
      </c>
      <c r="H102">
        <v>14.7</v>
      </c>
      <c r="I102">
        <v>14.7</v>
      </c>
      <c r="J102">
        <v>14.7</v>
      </c>
      <c r="K102">
        <v>14.7</v>
      </c>
      <c r="L102">
        <v>14.7</v>
      </c>
      <c r="M102">
        <v>14.7</v>
      </c>
      <c r="N102" s="1" t="s">
        <v>26</v>
      </c>
      <c r="O102" s="1" t="s">
        <v>27</v>
      </c>
      <c r="P102" s="1" t="s">
        <v>192</v>
      </c>
      <c r="Q102" s="1" t="s">
        <v>208</v>
      </c>
    </row>
    <row r="103" spans="1:17" hidden="1" x14ac:dyDescent="0.3">
      <c r="A103" s="1" t="s">
        <v>202</v>
      </c>
      <c r="B103" s="1" t="s">
        <v>203</v>
      </c>
      <c r="C103" s="1" t="s">
        <v>204</v>
      </c>
      <c r="D103" s="1" t="s">
        <v>401</v>
      </c>
      <c r="E103" s="1" t="s">
        <v>402</v>
      </c>
      <c r="F103">
        <v>1</v>
      </c>
      <c r="G103">
        <v>1</v>
      </c>
      <c r="H103">
        <v>67757.012000000002</v>
      </c>
      <c r="I103">
        <v>67942.009999999995</v>
      </c>
      <c r="J103">
        <v>67942.012000000002</v>
      </c>
      <c r="K103">
        <v>67942.012000000002</v>
      </c>
      <c r="L103">
        <v>67942.012000000002</v>
      </c>
      <c r="M103">
        <v>67942.012000000002</v>
      </c>
      <c r="N103" s="1" t="s">
        <v>26</v>
      </c>
      <c r="O103" s="1" t="s">
        <v>27</v>
      </c>
      <c r="P103" s="1" t="s">
        <v>192</v>
      </c>
      <c r="Q103" s="1" t="s">
        <v>208</v>
      </c>
    </row>
    <row r="104" spans="1:17" hidden="1" x14ac:dyDescent="0.3">
      <c r="A104" s="1" t="s">
        <v>688</v>
      </c>
      <c r="B104" s="1" t="s">
        <v>689</v>
      </c>
      <c r="C104" s="1" t="s">
        <v>690</v>
      </c>
      <c r="D104" s="1" t="s">
        <v>320</v>
      </c>
      <c r="E104" s="1" t="s">
        <v>321</v>
      </c>
      <c r="F104">
        <v>1</v>
      </c>
      <c r="G104">
        <v>1</v>
      </c>
      <c r="H104">
        <v>0.18</v>
      </c>
      <c r="I104">
        <v>0.18</v>
      </c>
      <c r="J104">
        <v>0.18</v>
      </c>
      <c r="K104">
        <v>0.18</v>
      </c>
      <c r="L104">
        <v>0.18</v>
      </c>
      <c r="M104">
        <v>0.18</v>
      </c>
      <c r="N104" s="1" t="s">
        <v>26</v>
      </c>
      <c r="O104" s="1" t="s">
        <v>27</v>
      </c>
      <c r="P104" s="1" t="s">
        <v>208</v>
      </c>
      <c r="Q104" s="1" t="s">
        <v>208</v>
      </c>
    </row>
    <row r="105" spans="1:17" hidden="1" x14ac:dyDescent="0.3">
      <c r="A105" s="1" t="s">
        <v>688</v>
      </c>
      <c r="B105" s="1" t="s">
        <v>689</v>
      </c>
      <c r="C105" s="1" t="s">
        <v>690</v>
      </c>
      <c r="D105" s="1" t="s">
        <v>726</v>
      </c>
      <c r="E105" s="1" t="s">
        <v>727</v>
      </c>
      <c r="F105">
        <v>1</v>
      </c>
      <c r="G105">
        <v>1</v>
      </c>
      <c r="H105">
        <v>0.85</v>
      </c>
      <c r="I105">
        <v>0.85</v>
      </c>
      <c r="J105">
        <v>0.85</v>
      </c>
      <c r="K105">
        <v>0.85</v>
      </c>
      <c r="L105">
        <v>0.85</v>
      </c>
      <c r="M105">
        <v>0.85</v>
      </c>
      <c r="N105" s="1" t="s">
        <v>26</v>
      </c>
      <c r="O105" s="1" t="s">
        <v>27</v>
      </c>
      <c r="P105" s="1" t="s">
        <v>208</v>
      </c>
      <c r="Q105" s="1" t="s">
        <v>208</v>
      </c>
    </row>
    <row r="106" spans="1:17" hidden="1" x14ac:dyDescent="0.3">
      <c r="A106" s="1" t="s">
        <v>688</v>
      </c>
      <c r="B106" s="1" t="s">
        <v>689</v>
      </c>
      <c r="C106" s="1" t="s">
        <v>690</v>
      </c>
      <c r="D106" s="1" t="s">
        <v>318</v>
      </c>
      <c r="E106" s="1" t="s">
        <v>319</v>
      </c>
      <c r="F106">
        <v>2</v>
      </c>
      <c r="G106">
        <v>2</v>
      </c>
      <c r="H106">
        <v>804.04300000000001</v>
      </c>
      <c r="I106">
        <v>1608.09</v>
      </c>
      <c r="J106">
        <v>804.04300000000001</v>
      </c>
      <c r="K106">
        <v>1608.086</v>
      </c>
      <c r="L106">
        <v>1608.086</v>
      </c>
      <c r="M106">
        <v>1608.086</v>
      </c>
      <c r="N106" s="1" t="s">
        <v>26</v>
      </c>
      <c r="O106" s="1" t="s">
        <v>27</v>
      </c>
      <c r="P106" s="1" t="s">
        <v>208</v>
      </c>
      <c r="Q106" s="1" t="s">
        <v>208</v>
      </c>
    </row>
    <row r="107" spans="1:17" hidden="1" x14ac:dyDescent="0.3">
      <c r="A107" s="1" t="s">
        <v>688</v>
      </c>
      <c r="B107" s="1" t="s">
        <v>689</v>
      </c>
      <c r="C107" s="1" t="s">
        <v>690</v>
      </c>
      <c r="D107" s="1" t="s">
        <v>302</v>
      </c>
      <c r="E107" s="1" t="s">
        <v>303</v>
      </c>
      <c r="F107">
        <v>18</v>
      </c>
      <c r="G107">
        <v>18</v>
      </c>
      <c r="H107">
        <v>9.52</v>
      </c>
      <c r="I107">
        <v>171.36</v>
      </c>
      <c r="J107">
        <v>9.52</v>
      </c>
      <c r="K107">
        <v>171.36</v>
      </c>
      <c r="L107">
        <v>171.36</v>
      </c>
      <c r="M107">
        <v>171.36</v>
      </c>
      <c r="N107" s="1" t="s">
        <v>26</v>
      </c>
      <c r="O107" s="1" t="s">
        <v>27</v>
      </c>
      <c r="P107" s="1" t="s">
        <v>208</v>
      </c>
      <c r="Q107" s="1" t="s">
        <v>208</v>
      </c>
    </row>
    <row r="108" spans="1:17" hidden="1" x14ac:dyDescent="0.3">
      <c r="A108" s="1" t="s">
        <v>688</v>
      </c>
      <c r="B108" s="1" t="s">
        <v>689</v>
      </c>
      <c r="C108" s="1" t="s">
        <v>690</v>
      </c>
      <c r="D108" s="1" t="s">
        <v>320</v>
      </c>
      <c r="E108" s="1" t="s">
        <v>321</v>
      </c>
      <c r="F108">
        <v>3</v>
      </c>
      <c r="G108">
        <v>3</v>
      </c>
      <c r="H108">
        <v>0.18</v>
      </c>
      <c r="I108">
        <v>0.54</v>
      </c>
      <c r="J108">
        <v>0.18</v>
      </c>
      <c r="K108">
        <v>0.54</v>
      </c>
      <c r="L108">
        <v>0.54</v>
      </c>
      <c r="M108">
        <v>0.54</v>
      </c>
      <c r="N108" s="1" t="s">
        <v>26</v>
      </c>
      <c r="O108" s="1" t="s">
        <v>27</v>
      </c>
      <c r="P108" s="1" t="s">
        <v>208</v>
      </c>
      <c r="Q108" s="1" t="s">
        <v>208</v>
      </c>
    </row>
    <row r="109" spans="1:17" hidden="1" x14ac:dyDescent="0.3">
      <c r="A109" s="1" t="s">
        <v>688</v>
      </c>
      <c r="B109" s="1" t="s">
        <v>689</v>
      </c>
      <c r="C109" s="1" t="s">
        <v>690</v>
      </c>
      <c r="D109" s="1" t="s">
        <v>300</v>
      </c>
      <c r="E109" s="1" t="s">
        <v>301</v>
      </c>
      <c r="F109">
        <v>1</v>
      </c>
      <c r="G109">
        <v>1</v>
      </c>
      <c r="H109">
        <v>6865</v>
      </c>
      <c r="I109">
        <v>6865</v>
      </c>
      <c r="J109">
        <v>6865</v>
      </c>
      <c r="K109">
        <v>6865</v>
      </c>
      <c r="L109">
        <v>6865</v>
      </c>
      <c r="M109">
        <v>6865</v>
      </c>
      <c r="N109" s="1" t="s">
        <v>26</v>
      </c>
      <c r="O109" s="1" t="s">
        <v>27</v>
      </c>
      <c r="P109" s="1" t="s">
        <v>208</v>
      </c>
      <c r="Q109" s="1" t="s">
        <v>208</v>
      </c>
    </row>
    <row r="110" spans="1:17" hidden="1" x14ac:dyDescent="0.3">
      <c r="A110" s="1" t="s">
        <v>688</v>
      </c>
      <c r="B110" s="1" t="s">
        <v>689</v>
      </c>
      <c r="C110" s="1" t="s">
        <v>690</v>
      </c>
      <c r="D110" s="1" t="s">
        <v>337</v>
      </c>
      <c r="E110" s="1" t="s">
        <v>338</v>
      </c>
      <c r="F110">
        <v>3</v>
      </c>
      <c r="G110">
        <v>3</v>
      </c>
      <c r="H110">
        <v>4.9000000000000004</v>
      </c>
      <c r="I110">
        <v>14.7</v>
      </c>
      <c r="J110">
        <v>4.9000000000000004</v>
      </c>
      <c r="K110">
        <v>14.7</v>
      </c>
      <c r="L110">
        <v>14.7</v>
      </c>
      <c r="M110">
        <v>14.7</v>
      </c>
      <c r="N110" s="1" t="s">
        <v>26</v>
      </c>
      <c r="O110" s="1" t="s">
        <v>27</v>
      </c>
      <c r="P110" s="1" t="s">
        <v>208</v>
      </c>
      <c r="Q110" s="1" t="s">
        <v>208</v>
      </c>
    </row>
    <row r="111" spans="1:17" hidden="1" x14ac:dyDescent="0.3">
      <c r="A111" s="1" t="s">
        <v>688</v>
      </c>
      <c r="B111" s="1" t="s">
        <v>689</v>
      </c>
      <c r="C111" s="1" t="s">
        <v>690</v>
      </c>
      <c r="D111" s="1" t="s">
        <v>835</v>
      </c>
      <c r="E111" s="1" t="s">
        <v>836</v>
      </c>
      <c r="F111">
        <v>1</v>
      </c>
      <c r="G111">
        <v>1</v>
      </c>
      <c r="H111">
        <v>0</v>
      </c>
      <c r="I111">
        <v>369</v>
      </c>
      <c r="J111">
        <v>369</v>
      </c>
      <c r="K111">
        <v>369</v>
      </c>
      <c r="L111">
        <v>369</v>
      </c>
      <c r="M111">
        <v>369</v>
      </c>
      <c r="N111" s="1" t="s">
        <v>26</v>
      </c>
      <c r="O111" s="1" t="s">
        <v>27</v>
      </c>
      <c r="P111" s="1" t="s">
        <v>208</v>
      </c>
      <c r="Q111" s="1" t="s">
        <v>208</v>
      </c>
    </row>
    <row r="112" spans="1:17" hidden="1" x14ac:dyDescent="0.3">
      <c r="A112" s="1" t="s">
        <v>688</v>
      </c>
      <c r="B112" s="1" t="s">
        <v>689</v>
      </c>
      <c r="C112" s="1" t="s">
        <v>690</v>
      </c>
      <c r="D112" s="1" t="s">
        <v>742</v>
      </c>
      <c r="E112" s="1" t="s">
        <v>743</v>
      </c>
      <c r="F112">
        <v>3</v>
      </c>
      <c r="G112">
        <v>3</v>
      </c>
      <c r="H112">
        <v>0.49</v>
      </c>
      <c r="I112">
        <v>1.47</v>
      </c>
      <c r="J112">
        <v>0.49</v>
      </c>
      <c r="K112">
        <v>1.47</v>
      </c>
      <c r="L112">
        <v>1.47</v>
      </c>
      <c r="M112">
        <v>1.47</v>
      </c>
      <c r="N112" s="1" t="s">
        <v>26</v>
      </c>
      <c r="O112" s="1" t="s">
        <v>27</v>
      </c>
      <c r="P112" s="1" t="s">
        <v>208</v>
      </c>
      <c r="Q112" s="1" t="s">
        <v>208</v>
      </c>
    </row>
    <row r="113" spans="1:17" hidden="1" x14ac:dyDescent="0.3">
      <c r="A113" s="1" t="s">
        <v>688</v>
      </c>
      <c r="B113" s="1" t="s">
        <v>689</v>
      </c>
      <c r="C113" s="1" t="s">
        <v>690</v>
      </c>
      <c r="D113" s="1" t="s">
        <v>312</v>
      </c>
      <c r="E113" s="1" t="s">
        <v>313</v>
      </c>
      <c r="F113">
        <v>1</v>
      </c>
      <c r="G113">
        <v>1</v>
      </c>
      <c r="H113">
        <v>14.7</v>
      </c>
      <c r="I113">
        <v>14.7</v>
      </c>
      <c r="J113">
        <v>14.7</v>
      </c>
      <c r="K113">
        <v>14.7</v>
      </c>
      <c r="L113">
        <v>14.7</v>
      </c>
      <c r="M113">
        <v>14.7</v>
      </c>
      <c r="N113" s="1" t="s">
        <v>26</v>
      </c>
      <c r="O113" s="1" t="s">
        <v>27</v>
      </c>
      <c r="P113" s="1" t="s">
        <v>208</v>
      </c>
      <c r="Q113" s="1" t="s">
        <v>208</v>
      </c>
    </row>
    <row r="114" spans="1:17" hidden="1" x14ac:dyDescent="0.3">
      <c r="A114" s="1" t="s">
        <v>688</v>
      </c>
      <c r="B114" s="1" t="s">
        <v>689</v>
      </c>
      <c r="C114" s="1" t="s">
        <v>690</v>
      </c>
      <c r="D114" s="1" t="s">
        <v>875</v>
      </c>
      <c r="E114" s="1" t="s">
        <v>876</v>
      </c>
      <c r="F114">
        <v>1</v>
      </c>
      <c r="G114">
        <v>1</v>
      </c>
      <c r="H114">
        <v>5.95</v>
      </c>
      <c r="I114">
        <v>5.95</v>
      </c>
      <c r="J114">
        <v>5.95</v>
      </c>
      <c r="K114">
        <v>5.95</v>
      </c>
      <c r="L114">
        <v>5.95</v>
      </c>
      <c r="M114">
        <v>5.95</v>
      </c>
      <c r="N114" s="1" t="s">
        <v>26</v>
      </c>
      <c r="O114" s="1" t="s">
        <v>27</v>
      </c>
      <c r="P114" s="1" t="s">
        <v>208</v>
      </c>
      <c r="Q114" s="1" t="s">
        <v>208</v>
      </c>
    </row>
    <row r="115" spans="1:17" hidden="1" x14ac:dyDescent="0.3">
      <c r="A115" s="1" t="s">
        <v>688</v>
      </c>
      <c r="B115" s="1" t="s">
        <v>689</v>
      </c>
      <c r="C115" s="1" t="s">
        <v>690</v>
      </c>
      <c r="D115" s="1" t="s">
        <v>877</v>
      </c>
      <c r="E115" s="1" t="s">
        <v>852</v>
      </c>
      <c r="F115">
        <v>1</v>
      </c>
      <c r="G115">
        <v>1</v>
      </c>
      <c r="H115">
        <v>688573.72569999995</v>
      </c>
      <c r="I115">
        <v>691464.97</v>
      </c>
      <c r="J115">
        <v>691464.97719999996</v>
      </c>
      <c r="K115">
        <v>691464.97719999996</v>
      </c>
      <c r="L115">
        <v>691464.97719999996</v>
      </c>
      <c r="M115">
        <v>691464.97719999996</v>
      </c>
      <c r="N115" s="1" t="s">
        <v>26</v>
      </c>
      <c r="O115" s="1" t="s">
        <v>27</v>
      </c>
      <c r="P115" s="1" t="s">
        <v>208</v>
      </c>
      <c r="Q115" s="1" t="s">
        <v>208</v>
      </c>
    </row>
    <row r="116" spans="1:17" hidden="1" x14ac:dyDescent="0.3">
      <c r="A116" s="1" t="s">
        <v>688</v>
      </c>
      <c r="B116" s="1" t="s">
        <v>689</v>
      </c>
      <c r="C116" s="1" t="s">
        <v>690</v>
      </c>
      <c r="D116" s="1" t="s">
        <v>878</v>
      </c>
      <c r="E116" s="1" t="s">
        <v>848</v>
      </c>
      <c r="F116">
        <v>1</v>
      </c>
      <c r="G116">
        <v>1</v>
      </c>
      <c r="H116">
        <v>33096.415999999997</v>
      </c>
      <c r="I116">
        <v>53001.04</v>
      </c>
      <c r="J116">
        <v>53001.046000000002</v>
      </c>
      <c r="K116">
        <v>53001.046000000002</v>
      </c>
      <c r="L116">
        <v>53001.046000000002</v>
      </c>
      <c r="M116">
        <v>53001.046000000002</v>
      </c>
      <c r="N116" s="1" t="s">
        <v>26</v>
      </c>
      <c r="O116" s="1" t="s">
        <v>27</v>
      </c>
      <c r="P116" s="1" t="s">
        <v>208</v>
      </c>
      <c r="Q116" s="1" t="s">
        <v>208</v>
      </c>
    </row>
    <row r="117" spans="1:17" hidden="1" x14ac:dyDescent="0.3">
      <c r="A117" s="1" t="s">
        <v>688</v>
      </c>
      <c r="B117" s="1" t="s">
        <v>689</v>
      </c>
      <c r="C117" s="1" t="s">
        <v>690</v>
      </c>
      <c r="D117" s="1" t="s">
        <v>879</v>
      </c>
      <c r="E117" s="1" t="s">
        <v>880</v>
      </c>
      <c r="F117">
        <v>5</v>
      </c>
      <c r="G117">
        <v>5</v>
      </c>
      <c r="H117">
        <v>24.26</v>
      </c>
      <c r="I117">
        <v>121.3</v>
      </c>
      <c r="J117">
        <v>24.26</v>
      </c>
      <c r="K117">
        <v>121.3</v>
      </c>
      <c r="L117">
        <v>121.3</v>
      </c>
      <c r="M117">
        <v>121.3</v>
      </c>
      <c r="N117" s="1" t="s">
        <v>26</v>
      </c>
      <c r="O117" s="1" t="s">
        <v>27</v>
      </c>
      <c r="P117" s="1" t="s">
        <v>208</v>
      </c>
      <c r="Q117" s="1" t="s">
        <v>208</v>
      </c>
    </row>
    <row r="118" spans="1:17" hidden="1" x14ac:dyDescent="0.3">
      <c r="A118" s="1" t="s">
        <v>688</v>
      </c>
      <c r="B118" s="1" t="s">
        <v>689</v>
      </c>
      <c r="C118" s="1" t="s">
        <v>690</v>
      </c>
      <c r="D118" s="1" t="s">
        <v>306</v>
      </c>
      <c r="E118" s="1" t="s">
        <v>307</v>
      </c>
      <c r="F118">
        <v>2</v>
      </c>
      <c r="G118">
        <v>2</v>
      </c>
      <c r="H118">
        <v>490</v>
      </c>
      <c r="I118">
        <v>980</v>
      </c>
      <c r="J118">
        <v>490</v>
      </c>
      <c r="K118">
        <v>980</v>
      </c>
      <c r="L118">
        <v>980</v>
      </c>
      <c r="M118">
        <v>980</v>
      </c>
      <c r="N118" s="1" t="s">
        <v>26</v>
      </c>
      <c r="O118" s="1" t="s">
        <v>27</v>
      </c>
      <c r="P118" s="1" t="s">
        <v>208</v>
      </c>
      <c r="Q118" s="1" t="s">
        <v>208</v>
      </c>
    </row>
    <row r="119" spans="1:17" hidden="1" x14ac:dyDescent="0.3">
      <c r="A119" s="1" t="s">
        <v>688</v>
      </c>
      <c r="B119" s="1" t="s">
        <v>689</v>
      </c>
      <c r="C119" s="1" t="s">
        <v>690</v>
      </c>
      <c r="D119" s="1" t="s">
        <v>262</v>
      </c>
      <c r="E119" s="1" t="s">
        <v>297</v>
      </c>
      <c r="F119">
        <v>3</v>
      </c>
      <c r="G119">
        <v>3</v>
      </c>
      <c r="H119">
        <v>0</v>
      </c>
      <c r="I119">
        <v>0</v>
      </c>
      <c r="J119">
        <v>0</v>
      </c>
      <c r="K119">
        <v>0</v>
      </c>
      <c r="L119">
        <v>0</v>
      </c>
      <c r="M119">
        <v>0</v>
      </c>
      <c r="N119" s="1" t="s">
        <v>26</v>
      </c>
      <c r="O119" s="1" t="s">
        <v>27</v>
      </c>
      <c r="P119" s="1" t="s">
        <v>208</v>
      </c>
      <c r="Q119" s="1" t="s">
        <v>208</v>
      </c>
    </row>
    <row r="120" spans="1:17" hidden="1" x14ac:dyDescent="0.3">
      <c r="A120" s="1" t="s">
        <v>688</v>
      </c>
      <c r="B120" s="1" t="s">
        <v>689</v>
      </c>
      <c r="C120" s="1" t="s">
        <v>690</v>
      </c>
      <c r="D120" s="1" t="s">
        <v>744</v>
      </c>
      <c r="E120" s="1" t="s">
        <v>745</v>
      </c>
      <c r="F120">
        <v>64</v>
      </c>
      <c r="G120">
        <v>64</v>
      </c>
      <c r="H120">
        <v>2.0699999999999998</v>
      </c>
      <c r="I120">
        <v>132.47999999999999</v>
      </c>
      <c r="J120">
        <v>2.0699999999999998</v>
      </c>
      <c r="K120">
        <v>132.47999999999999</v>
      </c>
      <c r="L120">
        <v>132.47999999999999</v>
      </c>
      <c r="M120">
        <v>132.47999999999999</v>
      </c>
      <c r="N120" s="1" t="s">
        <v>26</v>
      </c>
      <c r="O120" s="1" t="s">
        <v>27</v>
      </c>
      <c r="P120" s="1" t="s">
        <v>208</v>
      </c>
      <c r="Q120" s="1" t="s">
        <v>208</v>
      </c>
    </row>
    <row r="121" spans="1:17" hidden="1" x14ac:dyDescent="0.3">
      <c r="A121" s="1" t="s">
        <v>688</v>
      </c>
      <c r="B121" s="1" t="s">
        <v>689</v>
      </c>
      <c r="C121" s="1" t="s">
        <v>690</v>
      </c>
      <c r="D121" s="1" t="s">
        <v>366</v>
      </c>
      <c r="E121" s="1" t="s">
        <v>367</v>
      </c>
      <c r="F121">
        <v>4</v>
      </c>
      <c r="G121">
        <v>4</v>
      </c>
      <c r="H121">
        <v>4.1100000000000003</v>
      </c>
      <c r="I121">
        <v>16.440000000000001</v>
      </c>
      <c r="J121">
        <v>4.1100000000000003</v>
      </c>
      <c r="K121">
        <v>16.440000000000001</v>
      </c>
      <c r="L121">
        <v>16.440000000000001</v>
      </c>
      <c r="M121">
        <v>16.440000000000001</v>
      </c>
      <c r="N121" s="1" t="s">
        <v>26</v>
      </c>
      <c r="O121" s="1" t="s">
        <v>27</v>
      </c>
      <c r="P121" s="1" t="s">
        <v>208</v>
      </c>
      <c r="Q121" s="1" t="s">
        <v>208</v>
      </c>
    </row>
    <row r="122" spans="1:17" hidden="1" x14ac:dyDescent="0.3">
      <c r="A122" s="1" t="s">
        <v>688</v>
      </c>
      <c r="B122" s="1" t="s">
        <v>689</v>
      </c>
      <c r="C122" s="1" t="s">
        <v>690</v>
      </c>
      <c r="D122" s="1" t="s">
        <v>746</v>
      </c>
      <c r="E122" s="1" t="s">
        <v>747</v>
      </c>
      <c r="F122">
        <v>21</v>
      </c>
      <c r="G122">
        <v>21</v>
      </c>
      <c r="H122">
        <v>1.6</v>
      </c>
      <c r="I122">
        <v>33.6</v>
      </c>
      <c r="J122">
        <v>1.6</v>
      </c>
      <c r="K122">
        <v>33.6</v>
      </c>
      <c r="L122">
        <v>33.6</v>
      </c>
      <c r="M122">
        <v>33.6</v>
      </c>
      <c r="N122" s="1" t="s">
        <v>26</v>
      </c>
      <c r="O122" s="1" t="s">
        <v>27</v>
      </c>
      <c r="P122" s="1" t="s">
        <v>208</v>
      </c>
      <c r="Q122" s="1" t="s">
        <v>208</v>
      </c>
    </row>
    <row r="123" spans="1:17" hidden="1" x14ac:dyDescent="0.3">
      <c r="A123" s="1" t="s">
        <v>688</v>
      </c>
      <c r="B123" s="1" t="s">
        <v>689</v>
      </c>
      <c r="C123" s="1" t="s">
        <v>690</v>
      </c>
      <c r="D123" s="1" t="s">
        <v>359</v>
      </c>
      <c r="E123" s="1" t="s">
        <v>360</v>
      </c>
      <c r="F123">
        <v>30</v>
      </c>
      <c r="G123">
        <v>30</v>
      </c>
      <c r="H123">
        <v>2.63</v>
      </c>
      <c r="I123">
        <v>78.900000000000006</v>
      </c>
      <c r="J123">
        <v>2.63</v>
      </c>
      <c r="K123">
        <v>78.900000000000006</v>
      </c>
      <c r="L123">
        <v>78.900000000000006</v>
      </c>
      <c r="M123">
        <v>78.900000000000006</v>
      </c>
      <c r="N123" s="1" t="s">
        <v>26</v>
      </c>
      <c r="O123" s="1" t="s">
        <v>27</v>
      </c>
      <c r="P123" s="1" t="s">
        <v>208</v>
      </c>
      <c r="Q123" s="1" t="s">
        <v>208</v>
      </c>
    </row>
    <row r="124" spans="1:17" hidden="1" x14ac:dyDescent="0.3">
      <c r="A124" s="1" t="s">
        <v>688</v>
      </c>
      <c r="B124" s="1" t="s">
        <v>689</v>
      </c>
      <c r="C124" s="1" t="s">
        <v>690</v>
      </c>
      <c r="D124" s="1" t="s">
        <v>335</v>
      </c>
      <c r="E124" s="1" t="s">
        <v>336</v>
      </c>
      <c r="F124">
        <v>5</v>
      </c>
      <c r="G124">
        <v>5</v>
      </c>
      <c r="H124">
        <v>1.22</v>
      </c>
      <c r="I124">
        <v>6.1</v>
      </c>
      <c r="J124">
        <v>1.22</v>
      </c>
      <c r="K124">
        <v>6.1</v>
      </c>
      <c r="L124">
        <v>6.1</v>
      </c>
      <c r="M124">
        <v>6.1</v>
      </c>
      <c r="N124" s="1" t="s">
        <v>26</v>
      </c>
      <c r="O124" s="1" t="s">
        <v>27</v>
      </c>
      <c r="P124" s="1" t="s">
        <v>208</v>
      </c>
      <c r="Q124" s="1" t="s">
        <v>208</v>
      </c>
    </row>
    <row r="125" spans="1:17" hidden="1" x14ac:dyDescent="0.3">
      <c r="A125" s="1" t="s">
        <v>688</v>
      </c>
      <c r="B125" s="1" t="s">
        <v>689</v>
      </c>
      <c r="C125" s="1" t="s">
        <v>690</v>
      </c>
      <c r="D125" s="1" t="s">
        <v>314</v>
      </c>
      <c r="E125" s="1" t="s">
        <v>315</v>
      </c>
      <c r="F125">
        <v>1</v>
      </c>
      <c r="G125">
        <v>1</v>
      </c>
      <c r="H125">
        <v>170</v>
      </c>
      <c r="I125">
        <v>170</v>
      </c>
      <c r="J125">
        <v>170</v>
      </c>
      <c r="K125">
        <v>170</v>
      </c>
      <c r="L125">
        <v>170</v>
      </c>
      <c r="M125">
        <v>170</v>
      </c>
      <c r="N125" s="1" t="s">
        <v>26</v>
      </c>
      <c r="O125" s="1" t="s">
        <v>27</v>
      </c>
      <c r="P125" s="1" t="s">
        <v>208</v>
      </c>
      <c r="Q125" s="1" t="s">
        <v>208</v>
      </c>
    </row>
    <row r="126" spans="1:17" hidden="1" x14ac:dyDescent="0.3">
      <c r="A126" s="1" t="s">
        <v>688</v>
      </c>
      <c r="B126" s="1" t="s">
        <v>689</v>
      </c>
      <c r="C126" s="1" t="s">
        <v>690</v>
      </c>
      <c r="D126" s="1" t="s">
        <v>363</v>
      </c>
      <c r="E126" s="1" t="s">
        <v>364</v>
      </c>
      <c r="F126">
        <v>49</v>
      </c>
      <c r="G126">
        <v>49</v>
      </c>
      <c r="H126">
        <v>3.35</v>
      </c>
      <c r="I126">
        <v>164.15</v>
      </c>
      <c r="J126">
        <v>3.35</v>
      </c>
      <c r="K126">
        <v>164.15</v>
      </c>
      <c r="L126">
        <v>164.15</v>
      </c>
      <c r="M126">
        <v>164.15</v>
      </c>
      <c r="N126" s="1" t="s">
        <v>26</v>
      </c>
      <c r="O126" s="1" t="s">
        <v>27</v>
      </c>
      <c r="P126" s="1" t="s">
        <v>208</v>
      </c>
      <c r="Q126" s="1" t="s">
        <v>208</v>
      </c>
    </row>
    <row r="127" spans="1:17" hidden="1" x14ac:dyDescent="0.3">
      <c r="A127" s="1" t="s">
        <v>688</v>
      </c>
      <c r="B127" s="1" t="s">
        <v>689</v>
      </c>
      <c r="C127" s="1" t="s">
        <v>690</v>
      </c>
      <c r="D127" s="1" t="s">
        <v>327</v>
      </c>
      <c r="E127" s="1" t="s">
        <v>328</v>
      </c>
      <c r="F127">
        <v>4</v>
      </c>
      <c r="G127">
        <v>4</v>
      </c>
      <c r="H127">
        <v>0.36</v>
      </c>
      <c r="I127">
        <v>1.44</v>
      </c>
      <c r="J127">
        <v>0.36</v>
      </c>
      <c r="K127">
        <v>1.44</v>
      </c>
      <c r="L127">
        <v>1.44</v>
      </c>
      <c r="M127">
        <v>1.44</v>
      </c>
      <c r="N127" s="1" t="s">
        <v>26</v>
      </c>
      <c r="O127" s="1" t="s">
        <v>27</v>
      </c>
      <c r="P127" s="1" t="s">
        <v>208</v>
      </c>
      <c r="Q127" s="1" t="s">
        <v>208</v>
      </c>
    </row>
    <row r="128" spans="1:17" hidden="1" x14ac:dyDescent="0.3">
      <c r="A128" s="1" t="s">
        <v>688</v>
      </c>
      <c r="B128" s="1" t="s">
        <v>689</v>
      </c>
      <c r="C128" s="1" t="s">
        <v>690</v>
      </c>
      <c r="D128" s="1" t="s">
        <v>343</v>
      </c>
      <c r="E128" s="1" t="s">
        <v>344</v>
      </c>
      <c r="F128">
        <v>6</v>
      </c>
      <c r="G128">
        <v>6</v>
      </c>
      <c r="H128">
        <v>16.440000000000001</v>
      </c>
      <c r="I128">
        <v>98.64</v>
      </c>
      <c r="J128">
        <v>16.440000000000001</v>
      </c>
      <c r="K128">
        <v>98.64</v>
      </c>
      <c r="L128">
        <v>98.64</v>
      </c>
      <c r="M128">
        <v>98.64</v>
      </c>
      <c r="N128" s="1" t="s">
        <v>26</v>
      </c>
      <c r="O128" s="1" t="s">
        <v>27</v>
      </c>
      <c r="P128" s="1" t="s">
        <v>208</v>
      </c>
      <c r="Q128" s="1" t="s">
        <v>208</v>
      </c>
    </row>
    <row r="129" spans="1:17" hidden="1" x14ac:dyDescent="0.3">
      <c r="A129" s="1" t="s">
        <v>688</v>
      </c>
      <c r="B129" s="1" t="s">
        <v>689</v>
      </c>
      <c r="C129" s="1" t="s">
        <v>690</v>
      </c>
      <c r="D129" s="1" t="s">
        <v>351</v>
      </c>
      <c r="E129" s="1" t="s">
        <v>352</v>
      </c>
      <c r="F129">
        <v>4</v>
      </c>
      <c r="G129">
        <v>4</v>
      </c>
      <c r="H129">
        <v>34.61</v>
      </c>
      <c r="I129">
        <v>138.44</v>
      </c>
      <c r="J129">
        <v>34.61</v>
      </c>
      <c r="K129">
        <v>138.44</v>
      </c>
      <c r="L129">
        <v>138.44</v>
      </c>
      <c r="M129">
        <v>138.44</v>
      </c>
      <c r="N129" s="1" t="s">
        <v>26</v>
      </c>
      <c r="O129" s="1" t="s">
        <v>27</v>
      </c>
      <c r="P129" s="1" t="s">
        <v>208</v>
      </c>
      <c r="Q129" s="1" t="s">
        <v>208</v>
      </c>
    </row>
    <row r="130" spans="1:17" hidden="1" x14ac:dyDescent="0.3">
      <c r="A130" s="1" t="s">
        <v>688</v>
      </c>
      <c r="B130" s="1" t="s">
        <v>689</v>
      </c>
      <c r="C130" s="1" t="s">
        <v>690</v>
      </c>
      <c r="D130" s="1" t="s">
        <v>349</v>
      </c>
      <c r="E130" s="1" t="s">
        <v>350</v>
      </c>
      <c r="F130">
        <v>2</v>
      </c>
      <c r="G130">
        <v>2</v>
      </c>
      <c r="H130">
        <v>14.83</v>
      </c>
      <c r="I130">
        <v>29.66</v>
      </c>
      <c r="J130">
        <v>14.83</v>
      </c>
      <c r="K130">
        <v>29.66</v>
      </c>
      <c r="L130">
        <v>29.66</v>
      </c>
      <c r="M130">
        <v>29.66</v>
      </c>
      <c r="N130" s="1" t="s">
        <v>26</v>
      </c>
      <c r="O130" s="1" t="s">
        <v>27</v>
      </c>
      <c r="P130" s="1" t="s">
        <v>208</v>
      </c>
      <c r="Q130" s="1" t="s">
        <v>208</v>
      </c>
    </row>
    <row r="131" spans="1:17" hidden="1" x14ac:dyDescent="0.3">
      <c r="A131" s="1" t="s">
        <v>688</v>
      </c>
      <c r="B131" s="1" t="s">
        <v>689</v>
      </c>
      <c r="C131" s="1" t="s">
        <v>690</v>
      </c>
      <c r="D131" s="1" t="s">
        <v>329</v>
      </c>
      <c r="E131" s="1" t="s">
        <v>330</v>
      </c>
      <c r="F131">
        <v>1</v>
      </c>
      <c r="G131">
        <v>1</v>
      </c>
      <c r="H131">
        <v>14.38</v>
      </c>
      <c r="I131">
        <v>14.38</v>
      </c>
      <c r="J131">
        <v>14.38</v>
      </c>
      <c r="K131">
        <v>14.38</v>
      </c>
      <c r="L131">
        <v>14.38</v>
      </c>
      <c r="M131">
        <v>14.38</v>
      </c>
      <c r="N131" s="1" t="s">
        <v>26</v>
      </c>
      <c r="O131" s="1" t="s">
        <v>27</v>
      </c>
      <c r="P131" s="1" t="s">
        <v>208</v>
      </c>
      <c r="Q131" s="1" t="s">
        <v>208</v>
      </c>
    </row>
    <row r="132" spans="1:17" hidden="1" x14ac:dyDescent="0.3">
      <c r="A132" s="1" t="s">
        <v>688</v>
      </c>
      <c r="B132" s="1" t="s">
        <v>689</v>
      </c>
      <c r="C132" s="1" t="s">
        <v>690</v>
      </c>
      <c r="D132" s="1" t="s">
        <v>748</v>
      </c>
      <c r="E132" s="1" t="s">
        <v>749</v>
      </c>
      <c r="F132">
        <v>27</v>
      </c>
      <c r="G132">
        <v>27</v>
      </c>
      <c r="H132">
        <v>1.6</v>
      </c>
      <c r="I132">
        <v>43.2</v>
      </c>
      <c r="J132">
        <v>1.6</v>
      </c>
      <c r="K132">
        <v>43.2</v>
      </c>
      <c r="L132">
        <v>43.2</v>
      </c>
      <c r="M132">
        <v>43.2</v>
      </c>
      <c r="N132" s="1" t="s">
        <v>26</v>
      </c>
      <c r="O132" s="1" t="s">
        <v>27</v>
      </c>
      <c r="P132" s="1" t="s">
        <v>208</v>
      </c>
      <c r="Q132" s="1" t="s">
        <v>208</v>
      </c>
    </row>
    <row r="133" spans="1:17" hidden="1" x14ac:dyDescent="0.3">
      <c r="A133" s="1" t="s">
        <v>688</v>
      </c>
      <c r="B133" s="1" t="s">
        <v>689</v>
      </c>
      <c r="C133" s="1" t="s">
        <v>690</v>
      </c>
      <c r="D133" s="1" t="s">
        <v>746</v>
      </c>
      <c r="E133" s="1" t="s">
        <v>747</v>
      </c>
      <c r="F133">
        <v>10</v>
      </c>
      <c r="G133">
        <v>10</v>
      </c>
      <c r="H133">
        <v>1.6</v>
      </c>
      <c r="I133">
        <v>16</v>
      </c>
      <c r="J133">
        <v>1.6</v>
      </c>
      <c r="K133">
        <v>16</v>
      </c>
      <c r="L133">
        <v>16</v>
      </c>
      <c r="M133">
        <v>16</v>
      </c>
      <c r="N133" s="1" t="s">
        <v>26</v>
      </c>
      <c r="O133" s="1" t="s">
        <v>27</v>
      </c>
      <c r="P133" s="1" t="s">
        <v>208</v>
      </c>
      <c r="Q133" s="1" t="s">
        <v>208</v>
      </c>
    </row>
    <row r="134" spans="1:17" hidden="1" x14ac:dyDescent="0.3">
      <c r="A134" s="1" t="s">
        <v>688</v>
      </c>
      <c r="B134" s="1" t="s">
        <v>689</v>
      </c>
      <c r="C134" s="1" t="s">
        <v>690</v>
      </c>
      <c r="D134" s="1" t="s">
        <v>750</v>
      </c>
      <c r="E134" s="1" t="s">
        <v>751</v>
      </c>
      <c r="F134">
        <v>2756</v>
      </c>
      <c r="G134">
        <v>2756</v>
      </c>
      <c r="H134">
        <v>0.18</v>
      </c>
      <c r="I134">
        <v>496.08</v>
      </c>
      <c r="J134">
        <v>0.18</v>
      </c>
      <c r="K134">
        <v>496.08</v>
      </c>
      <c r="L134">
        <v>496.08</v>
      </c>
      <c r="M134">
        <v>496.08</v>
      </c>
      <c r="N134" s="1" t="s">
        <v>26</v>
      </c>
      <c r="O134" s="1" t="s">
        <v>27</v>
      </c>
      <c r="P134" s="1" t="s">
        <v>208</v>
      </c>
      <c r="Q134" s="1" t="s">
        <v>208</v>
      </c>
    </row>
    <row r="135" spans="1:17" hidden="1" x14ac:dyDescent="0.3">
      <c r="A135" s="1" t="s">
        <v>688</v>
      </c>
      <c r="B135" s="1" t="s">
        <v>689</v>
      </c>
      <c r="C135" s="1" t="s">
        <v>690</v>
      </c>
      <c r="D135" s="1" t="s">
        <v>287</v>
      </c>
      <c r="E135" s="1" t="s">
        <v>288</v>
      </c>
      <c r="F135">
        <v>1</v>
      </c>
      <c r="G135">
        <v>1</v>
      </c>
      <c r="H135">
        <v>0</v>
      </c>
      <c r="I135">
        <v>833.35</v>
      </c>
      <c r="J135">
        <v>833.35</v>
      </c>
      <c r="K135">
        <v>833.35</v>
      </c>
      <c r="L135">
        <v>833.35</v>
      </c>
      <c r="M135">
        <v>833.35</v>
      </c>
      <c r="N135" s="1" t="s">
        <v>26</v>
      </c>
      <c r="O135" s="1" t="s">
        <v>27</v>
      </c>
      <c r="P135" s="1" t="s">
        <v>208</v>
      </c>
      <c r="Q135" s="1" t="s">
        <v>208</v>
      </c>
    </row>
    <row r="136" spans="1:17" hidden="1" x14ac:dyDescent="0.3">
      <c r="A136" s="1" t="s">
        <v>688</v>
      </c>
      <c r="B136" s="1" t="s">
        <v>689</v>
      </c>
      <c r="C136" s="1" t="s">
        <v>690</v>
      </c>
      <c r="D136" s="1" t="s">
        <v>323</v>
      </c>
      <c r="E136" s="1" t="s">
        <v>324</v>
      </c>
      <c r="F136">
        <v>1</v>
      </c>
      <c r="G136">
        <v>1</v>
      </c>
      <c r="H136">
        <v>2.0499999999999998</v>
      </c>
      <c r="I136">
        <v>2.0499999999999998</v>
      </c>
      <c r="J136">
        <v>2.0499999999999998</v>
      </c>
      <c r="K136">
        <v>2.0499999999999998</v>
      </c>
      <c r="L136">
        <v>2.0499999999999998</v>
      </c>
      <c r="M136">
        <v>2.0499999999999998</v>
      </c>
      <c r="N136" s="1" t="s">
        <v>26</v>
      </c>
      <c r="O136" s="1" t="s">
        <v>27</v>
      </c>
      <c r="P136" s="1" t="s">
        <v>208</v>
      </c>
      <c r="Q136" s="1" t="s">
        <v>208</v>
      </c>
    </row>
    <row r="137" spans="1:17" hidden="1" x14ac:dyDescent="0.3">
      <c r="A137" s="1" t="s">
        <v>688</v>
      </c>
      <c r="B137" s="1" t="s">
        <v>689</v>
      </c>
      <c r="C137" s="1" t="s">
        <v>690</v>
      </c>
      <c r="D137" s="1" t="s">
        <v>881</v>
      </c>
      <c r="E137" s="1" t="s">
        <v>402</v>
      </c>
      <c r="F137">
        <v>1</v>
      </c>
      <c r="G137">
        <v>1</v>
      </c>
      <c r="H137">
        <v>67757.012000000002</v>
      </c>
      <c r="I137">
        <v>67942.009999999995</v>
      </c>
      <c r="J137">
        <v>67942.012000000002</v>
      </c>
      <c r="K137">
        <v>67942.012000000002</v>
      </c>
      <c r="L137">
        <v>67942.012000000002</v>
      </c>
      <c r="M137">
        <v>67942.012000000002</v>
      </c>
      <c r="N137" s="1" t="s">
        <v>26</v>
      </c>
      <c r="O137" s="1" t="s">
        <v>27</v>
      </c>
      <c r="P137" s="1" t="s">
        <v>208</v>
      </c>
      <c r="Q137" s="1" t="s">
        <v>208</v>
      </c>
    </row>
    <row r="138" spans="1:17" hidden="1" x14ac:dyDescent="0.3">
      <c r="A138" s="1" t="s">
        <v>688</v>
      </c>
      <c r="B138" s="1" t="s">
        <v>689</v>
      </c>
      <c r="C138" s="1" t="s">
        <v>690</v>
      </c>
      <c r="D138" s="1" t="s">
        <v>308</v>
      </c>
      <c r="E138" s="1" t="s">
        <v>309</v>
      </c>
      <c r="F138">
        <v>1</v>
      </c>
      <c r="G138">
        <v>1</v>
      </c>
      <c r="H138">
        <v>0</v>
      </c>
      <c r="I138">
        <v>0</v>
      </c>
      <c r="J138">
        <v>0</v>
      </c>
      <c r="K138">
        <v>0</v>
      </c>
      <c r="L138">
        <v>0</v>
      </c>
      <c r="M138">
        <v>0</v>
      </c>
      <c r="N138" s="1" t="s">
        <v>26</v>
      </c>
      <c r="O138" s="1" t="s">
        <v>27</v>
      </c>
      <c r="P138" s="1" t="s">
        <v>208</v>
      </c>
      <c r="Q138" s="1" t="s">
        <v>208</v>
      </c>
    </row>
    <row r="139" spans="1:17" hidden="1" x14ac:dyDescent="0.3">
      <c r="A139" s="1" t="s">
        <v>688</v>
      </c>
      <c r="B139" s="1" t="s">
        <v>689</v>
      </c>
      <c r="C139" s="1" t="s">
        <v>690</v>
      </c>
      <c r="D139" s="1" t="s">
        <v>325</v>
      </c>
      <c r="E139" s="1" t="s">
        <v>326</v>
      </c>
      <c r="F139">
        <v>6</v>
      </c>
      <c r="G139">
        <v>6</v>
      </c>
      <c r="H139">
        <v>27.81</v>
      </c>
      <c r="I139">
        <v>166.86</v>
      </c>
      <c r="J139">
        <v>27.81</v>
      </c>
      <c r="K139">
        <v>166.86</v>
      </c>
      <c r="L139">
        <v>166.86</v>
      </c>
      <c r="M139">
        <v>166.86</v>
      </c>
      <c r="N139" s="1" t="s">
        <v>26</v>
      </c>
      <c r="O139" s="1" t="s">
        <v>27</v>
      </c>
      <c r="P139" s="1" t="s">
        <v>208</v>
      </c>
      <c r="Q139" s="1" t="s">
        <v>208</v>
      </c>
    </row>
    <row r="140" spans="1:17" hidden="1" x14ac:dyDescent="0.3">
      <c r="A140" s="1" t="s">
        <v>688</v>
      </c>
      <c r="B140" s="1" t="s">
        <v>689</v>
      </c>
      <c r="C140" s="1" t="s">
        <v>690</v>
      </c>
      <c r="D140" s="1" t="s">
        <v>752</v>
      </c>
      <c r="E140" s="1" t="s">
        <v>753</v>
      </c>
      <c r="F140">
        <v>7</v>
      </c>
      <c r="G140">
        <v>7</v>
      </c>
      <c r="H140">
        <v>17.72</v>
      </c>
      <c r="I140">
        <v>124.04</v>
      </c>
      <c r="J140">
        <v>17.72</v>
      </c>
      <c r="K140">
        <v>124.04</v>
      </c>
      <c r="L140">
        <v>124.04</v>
      </c>
      <c r="M140">
        <v>124.04</v>
      </c>
      <c r="N140" s="1" t="s">
        <v>26</v>
      </c>
      <c r="O140" s="1" t="s">
        <v>27</v>
      </c>
      <c r="P140" s="1" t="s">
        <v>208</v>
      </c>
      <c r="Q140" s="1" t="s">
        <v>208</v>
      </c>
    </row>
    <row r="141" spans="1:17" hidden="1" x14ac:dyDescent="0.3">
      <c r="A141" s="1" t="s">
        <v>688</v>
      </c>
      <c r="B141" s="1" t="s">
        <v>689</v>
      </c>
      <c r="C141" s="1" t="s">
        <v>690</v>
      </c>
      <c r="D141" s="1" t="s">
        <v>345</v>
      </c>
      <c r="E141" s="1" t="s">
        <v>346</v>
      </c>
      <c r="F141">
        <v>1</v>
      </c>
      <c r="G141">
        <v>1</v>
      </c>
      <c r="H141">
        <v>12.33</v>
      </c>
      <c r="I141">
        <v>12.33</v>
      </c>
      <c r="J141">
        <v>12.33</v>
      </c>
      <c r="K141">
        <v>12.33</v>
      </c>
      <c r="L141">
        <v>12.33</v>
      </c>
      <c r="M141">
        <v>12.33</v>
      </c>
      <c r="N141" s="1" t="s">
        <v>26</v>
      </c>
      <c r="O141" s="1" t="s">
        <v>27</v>
      </c>
      <c r="P141" s="1" t="s">
        <v>208</v>
      </c>
      <c r="Q141" s="1" t="s">
        <v>208</v>
      </c>
    </row>
    <row r="142" spans="1:17" hidden="1" x14ac:dyDescent="0.3">
      <c r="A142" s="1" t="s">
        <v>688</v>
      </c>
      <c r="B142" s="1" t="s">
        <v>689</v>
      </c>
      <c r="C142" s="1" t="s">
        <v>690</v>
      </c>
      <c r="D142" s="1" t="s">
        <v>882</v>
      </c>
      <c r="E142" s="1" t="s">
        <v>883</v>
      </c>
      <c r="F142">
        <v>1</v>
      </c>
      <c r="G142">
        <v>1</v>
      </c>
      <c r="H142">
        <v>9.06</v>
      </c>
      <c r="I142">
        <v>9.06</v>
      </c>
      <c r="J142">
        <v>9.06</v>
      </c>
      <c r="K142">
        <v>9.06</v>
      </c>
      <c r="L142">
        <v>9.06</v>
      </c>
      <c r="M142">
        <v>9.06</v>
      </c>
      <c r="N142" s="1" t="s">
        <v>26</v>
      </c>
      <c r="O142" s="1" t="s">
        <v>27</v>
      </c>
      <c r="P142" s="1" t="s">
        <v>208</v>
      </c>
      <c r="Q142" s="1" t="s">
        <v>208</v>
      </c>
    </row>
    <row r="143" spans="1:17" hidden="1" x14ac:dyDescent="0.3">
      <c r="A143" s="1" t="s">
        <v>688</v>
      </c>
      <c r="B143" s="1" t="s">
        <v>689</v>
      </c>
      <c r="C143" s="1" t="s">
        <v>690</v>
      </c>
      <c r="D143" s="1" t="s">
        <v>298</v>
      </c>
      <c r="E143" s="1" t="s">
        <v>299</v>
      </c>
      <c r="F143">
        <v>8400</v>
      </c>
      <c r="G143">
        <v>8400</v>
      </c>
      <c r="H143">
        <v>0.13</v>
      </c>
      <c r="I143">
        <v>1092</v>
      </c>
      <c r="J143">
        <v>0.13</v>
      </c>
      <c r="K143">
        <v>1092</v>
      </c>
      <c r="L143">
        <v>1092</v>
      </c>
      <c r="M143">
        <v>1092</v>
      </c>
      <c r="N143" s="1" t="s">
        <v>26</v>
      </c>
      <c r="O143" s="1" t="s">
        <v>27</v>
      </c>
      <c r="P143" s="1" t="s">
        <v>208</v>
      </c>
      <c r="Q143" s="1" t="s">
        <v>208</v>
      </c>
    </row>
    <row r="144" spans="1:17" hidden="1" x14ac:dyDescent="0.3">
      <c r="A144" s="1" t="s">
        <v>688</v>
      </c>
      <c r="B144" s="1" t="s">
        <v>689</v>
      </c>
      <c r="C144" s="1" t="s">
        <v>690</v>
      </c>
      <c r="D144" s="1" t="s">
        <v>754</v>
      </c>
      <c r="E144" s="1" t="s">
        <v>755</v>
      </c>
      <c r="F144">
        <v>1</v>
      </c>
      <c r="G144">
        <v>1</v>
      </c>
      <c r="H144">
        <v>16.899999999999999</v>
      </c>
      <c r="I144">
        <v>16.899999999999999</v>
      </c>
      <c r="J144">
        <v>16.899999999999999</v>
      </c>
      <c r="K144">
        <v>16.899999999999999</v>
      </c>
      <c r="L144">
        <v>16.899999999999999</v>
      </c>
      <c r="M144">
        <v>16.899999999999999</v>
      </c>
      <c r="N144" s="1" t="s">
        <v>26</v>
      </c>
      <c r="O144" s="1" t="s">
        <v>27</v>
      </c>
      <c r="P144" s="1" t="s">
        <v>208</v>
      </c>
      <c r="Q144" s="1" t="s">
        <v>208</v>
      </c>
    </row>
    <row r="145" spans="1:17" hidden="1" x14ac:dyDescent="0.3">
      <c r="A145" s="1" t="s">
        <v>688</v>
      </c>
      <c r="B145" s="1" t="s">
        <v>689</v>
      </c>
      <c r="C145" s="1" t="s">
        <v>690</v>
      </c>
      <c r="D145" s="1" t="s">
        <v>357</v>
      </c>
      <c r="E145" s="1" t="s">
        <v>358</v>
      </c>
      <c r="F145">
        <v>1</v>
      </c>
      <c r="G145">
        <v>1</v>
      </c>
      <c r="H145">
        <v>2.89</v>
      </c>
      <c r="I145">
        <v>2.89</v>
      </c>
      <c r="J145">
        <v>2.89</v>
      </c>
      <c r="K145">
        <v>2.89</v>
      </c>
      <c r="L145">
        <v>2.89</v>
      </c>
      <c r="M145">
        <v>2.89</v>
      </c>
      <c r="N145" s="1" t="s">
        <v>26</v>
      </c>
      <c r="O145" s="1" t="s">
        <v>27</v>
      </c>
      <c r="P145" s="1" t="s">
        <v>208</v>
      </c>
      <c r="Q145" s="1" t="s">
        <v>208</v>
      </c>
    </row>
    <row r="146" spans="1:17" hidden="1" x14ac:dyDescent="0.3">
      <c r="A146" s="1" t="s">
        <v>688</v>
      </c>
      <c r="B146" s="1" t="s">
        <v>689</v>
      </c>
      <c r="C146" s="1" t="s">
        <v>690</v>
      </c>
      <c r="D146" s="1" t="s">
        <v>756</v>
      </c>
      <c r="E146" s="1" t="s">
        <v>757</v>
      </c>
      <c r="F146">
        <v>6</v>
      </c>
      <c r="G146">
        <v>6</v>
      </c>
      <c r="H146">
        <v>1.25</v>
      </c>
      <c r="I146">
        <v>7.5</v>
      </c>
      <c r="J146">
        <v>1.25</v>
      </c>
      <c r="K146">
        <v>7.5</v>
      </c>
      <c r="L146">
        <v>7.5</v>
      </c>
      <c r="M146">
        <v>7.5</v>
      </c>
      <c r="N146" s="1" t="s">
        <v>26</v>
      </c>
      <c r="O146" s="1" t="s">
        <v>27</v>
      </c>
      <c r="P146" s="1" t="s">
        <v>208</v>
      </c>
      <c r="Q146" s="1" t="s">
        <v>208</v>
      </c>
    </row>
    <row r="147" spans="1:17" hidden="1" x14ac:dyDescent="0.3">
      <c r="A147" s="1" t="s">
        <v>688</v>
      </c>
      <c r="B147" s="1" t="s">
        <v>689</v>
      </c>
      <c r="C147" s="1" t="s">
        <v>690</v>
      </c>
      <c r="D147" s="1" t="s">
        <v>304</v>
      </c>
      <c r="E147" s="1" t="s">
        <v>305</v>
      </c>
      <c r="F147">
        <v>2</v>
      </c>
      <c r="G147">
        <v>2</v>
      </c>
      <c r="H147">
        <v>13.7</v>
      </c>
      <c r="I147">
        <v>27.4</v>
      </c>
      <c r="J147">
        <v>13.7</v>
      </c>
      <c r="K147">
        <v>27.4</v>
      </c>
      <c r="L147">
        <v>27.4</v>
      </c>
      <c r="M147">
        <v>27.4</v>
      </c>
      <c r="N147" s="1" t="s">
        <v>26</v>
      </c>
      <c r="O147" s="1" t="s">
        <v>27</v>
      </c>
      <c r="P147" s="1" t="s">
        <v>208</v>
      </c>
      <c r="Q147" s="1" t="s">
        <v>208</v>
      </c>
    </row>
    <row r="148" spans="1:17" hidden="1" x14ac:dyDescent="0.3">
      <c r="A148" s="1" t="s">
        <v>688</v>
      </c>
      <c r="B148" s="1" t="s">
        <v>689</v>
      </c>
      <c r="C148" s="1" t="s">
        <v>690</v>
      </c>
      <c r="D148" s="1" t="s">
        <v>331</v>
      </c>
      <c r="E148" s="1" t="s">
        <v>332</v>
      </c>
      <c r="F148">
        <v>1</v>
      </c>
      <c r="G148">
        <v>1</v>
      </c>
      <c r="H148">
        <v>45</v>
      </c>
      <c r="I148">
        <v>45</v>
      </c>
      <c r="J148">
        <v>45</v>
      </c>
      <c r="K148">
        <v>45</v>
      </c>
      <c r="L148">
        <v>45</v>
      </c>
      <c r="M148">
        <v>45</v>
      </c>
      <c r="N148" s="1" t="s">
        <v>26</v>
      </c>
      <c r="O148" s="1" t="s">
        <v>27</v>
      </c>
      <c r="P148" s="1" t="s">
        <v>208</v>
      </c>
      <c r="Q148" s="1" t="s">
        <v>208</v>
      </c>
    </row>
    <row r="149" spans="1:17" hidden="1" x14ac:dyDescent="0.3">
      <c r="A149" s="1" t="s">
        <v>688</v>
      </c>
      <c r="B149" s="1" t="s">
        <v>689</v>
      </c>
      <c r="C149" s="1" t="s">
        <v>690</v>
      </c>
      <c r="D149" s="1" t="s">
        <v>355</v>
      </c>
      <c r="E149" s="1" t="s">
        <v>356</v>
      </c>
      <c r="F149">
        <v>2</v>
      </c>
      <c r="G149">
        <v>2</v>
      </c>
      <c r="H149">
        <v>67</v>
      </c>
      <c r="I149">
        <v>134</v>
      </c>
      <c r="J149">
        <v>67</v>
      </c>
      <c r="K149">
        <v>134</v>
      </c>
      <c r="L149">
        <v>134</v>
      </c>
      <c r="M149">
        <v>134</v>
      </c>
      <c r="N149" s="1" t="s">
        <v>26</v>
      </c>
      <c r="O149" s="1" t="s">
        <v>27</v>
      </c>
      <c r="P149" s="1" t="s">
        <v>208</v>
      </c>
      <c r="Q149" s="1" t="s">
        <v>208</v>
      </c>
    </row>
    <row r="150" spans="1:17" hidden="1" x14ac:dyDescent="0.3">
      <c r="A150" s="1" t="s">
        <v>688</v>
      </c>
      <c r="B150" s="1" t="s">
        <v>689</v>
      </c>
      <c r="C150" s="1" t="s">
        <v>690</v>
      </c>
      <c r="D150" s="1" t="s">
        <v>353</v>
      </c>
      <c r="E150" s="1" t="s">
        <v>354</v>
      </c>
      <c r="F150">
        <v>2</v>
      </c>
      <c r="G150">
        <v>2</v>
      </c>
      <c r="H150">
        <v>2.27</v>
      </c>
      <c r="I150">
        <v>4.54</v>
      </c>
      <c r="J150">
        <v>2.27</v>
      </c>
      <c r="K150">
        <v>4.54</v>
      </c>
      <c r="L150">
        <v>4.54</v>
      </c>
      <c r="M150">
        <v>4.54</v>
      </c>
      <c r="N150" s="1" t="s">
        <v>26</v>
      </c>
      <c r="O150" s="1" t="s">
        <v>27</v>
      </c>
      <c r="P150" s="1" t="s">
        <v>208</v>
      </c>
      <c r="Q150" s="1" t="s">
        <v>208</v>
      </c>
    </row>
    <row r="151" spans="1:17" hidden="1" x14ac:dyDescent="0.3">
      <c r="A151" s="1" t="s">
        <v>688</v>
      </c>
      <c r="B151" s="1" t="s">
        <v>689</v>
      </c>
      <c r="C151" s="1" t="s">
        <v>690</v>
      </c>
      <c r="D151" s="1" t="s">
        <v>291</v>
      </c>
      <c r="E151" s="1" t="s">
        <v>292</v>
      </c>
      <c r="F151">
        <v>1</v>
      </c>
      <c r="G151">
        <v>1</v>
      </c>
      <c r="H151">
        <v>291</v>
      </c>
      <c r="I151">
        <v>291</v>
      </c>
      <c r="J151">
        <v>291</v>
      </c>
      <c r="K151">
        <v>291</v>
      </c>
      <c r="L151">
        <v>291</v>
      </c>
      <c r="M151">
        <v>291</v>
      </c>
      <c r="N151" s="1" t="s">
        <v>26</v>
      </c>
      <c r="O151" s="1" t="s">
        <v>27</v>
      </c>
      <c r="P151" s="1" t="s">
        <v>208</v>
      </c>
      <c r="Q151" s="1" t="s">
        <v>208</v>
      </c>
    </row>
    <row r="152" spans="1:17" hidden="1" x14ac:dyDescent="0.3">
      <c r="A152" s="1" t="s">
        <v>688</v>
      </c>
      <c r="B152" s="1" t="s">
        <v>689</v>
      </c>
      <c r="C152" s="1" t="s">
        <v>690</v>
      </c>
      <c r="D152" s="1" t="s">
        <v>295</v>
      </c>
      <c r="E152" s="1" t="s">
        <v>296</v>
      </c>
      <c r="F152">
        <v>1</v>
      </c>
      <c r="G152">
        <v>1</v>
      </c>
      <c r="H152">
        <v>8.89</v>
      </c>
      <c r="I152">
        <v>8.89</v>
      </c>
      <c r="J152">
        <v>8.89</v>
      </c>
      <c r="K152">
        <v>8.89</v>
      </c>
      <c r="L152">
        <v>8.89</v>
      </c>
      <c r="M152">
        <v>8.89</v>
      </c>
      <c r="N152" s="1" t="s">
        <v>26</v>
      </c>
      <c r="O152" s="1" t="s">
        <v>27</v>
      </c>
      <c r="P152" s="1" t="s">
        <v>208</v>
      </c>
      <c r="Q152" s="1" t="s">
        <v>208</v>
      </c>
    </row>
    <row r="153" spans="1:17" hidden="1" x14ac:dyDescent="0.3">
      <c r="A153" s="1" t="s">
        <v>688</v>
      </c>
      <c r="B153" s="1" t="s">
        <v>689</v>
      </c>
      <c r="C153" s="1" t="s">
        <v>690</v>
      </c>
      <c r="D153" s="1" t="s">
        <v>293</v>
      </c>
      <c r="E153" s="1" t="s">
        <v>294</v>
      </c>
      <c r="F153">
        <v>3</v>
      </c>
      <c r="G153">
        <v>3</v>
      </c>
      <c r="H153">
        <v>38.25</v>
      </c>
      <c r="I153">
        <v>114.75</v>
      </c>
      <c r="J153">
        <v>38.25</v>
      </c>
      <c r="K153">
        <v>114.75</v>
      </c>
      <c r="L153">
        <v>114.75</v>
      </c>
      <c r="M153">
        <v>114.75</v>
      </c>
      <c r="N153" s="1" t="s">
        <v>26</v>
      </c>
      <c r="O153" s="1" t="s">
        <v>27</v>
      </c>
      <c r="P153" s="1" t="s">
        <v>208</v>
      </c>
      <c r="Q153" s="1" t="s">
        <v>208</v>
      </c>
    </row>
    <row r="154" spans="1:17" hidden="1" x14ac:dyDescent="0.3">
      <c r="A154" s="1" t="s">
        <v>688</v>
      </c>
      <c r="B154" s="1" t="s">
        <v>689</v>
      </c>
      <c r="C154" s="1" t="s">
        <v>690</v>
      </c>
      <c r="D154" s="1" t="s">
        <v>316</v>
      </c>
      <c r="E154" s="1" t="s">
        <v>317</v>
      </c>
      <c r="F154">
        <v>2</v>
      </c>
      <c r="G154">
        <v>2</v>
      </c>
      <c r="H154">
        <v>0</v>
      </c>
      <c r="I154">
        <v>170</v>
      </c>
      <c r="J154">
        <v>85</v>
      </c>
      <c r="K154">
        <v>170</v>
      </c>
      <c r="L154">
        <v>170</v>
      </c>
      <c r="M154">
        <v>170</v>
      </c>
      <c r="N154" s="1" t="s">
        <v>26</v>
      </c>
      <c r="O154" s="1" t="s">
        <v>27</v>
      </c>
      <c r="P154" s="1" t="s">
        <v>208</v>
      </c>
      <c r="Q154" s="1" t="s">
        <v>208</v>
      </c>
    </row>
    <row r="155" spans="1:17" hidden="1" x14ac:dyDescent="0.3">
      <c r="A155" s="1" t="s">
        <v>688</v>
      </c>
      <c r="B155" s="1" t="s">
        <v>689</v>
      </c>
      <c r="C155" s="1" t="s">
        <v>690</v>
      </c>
      <c r="D155" s="1" t="s">
        <v>758</v>
      </c>
      <c r="E155" s="1" t="s">
        <v>759</v>
      </c>
      <c r="F155">
        <v>1</v>
      </c>
      <c r="G155">
        <v>1</v>
      </c>
      <c r="H155">
        <v>272</v>
      </c>
      <c r="I155">
        <v>272</v>
      </c>
      <c r="J155">
        <v>272</v>
      </c>
      <c r="K155">
        <v>272</v>
      </c>
      <c r="L155">
        <v>272</v>
      </c>
      <c r="M155">
        <v>272</v>
      </c>
      <c r="N155" s="1" t="s">
        <v>26</v>
      </c>
      <c r="O155" s="1" t="s">
        <v>27</v>
      </c>
      <c r="P155" s="1" t="s">
        <v>208</v>
      </c>
      <c r="Q155" s="1" t="s">
        <v>208</v>
      </c>
    </row>
    <row r="156" spans="1:17" hidden="1" x14ac:dyDescent="0.3">
      <c r="A156" s="1" t="s">
        <v>760</v>
      </c>
      <c r="B156" s="1" t="s">
        <v>761</v>
      </c>
      <c r="C156" s="1" t="s">
        <v>716</v>
      </c>
      <c r="D156" s="1" t="s">
        <v>784</v>
      </c>
      <c r="E156" s="1" t="s">
        <v>785</v>
      </c>
      <c r="F156">
        <v>2</v>
      </c>
      <c r="G156">
        <v>2</v>
      </c>
      <c r="H156">
        <v>0.5</v>
      </c>
      <c r="I156">
        <v>1</v>
      </c>
      <c r="J156">
        <v>0.5</v>
      </c>
      <c r="K156">
        <v>1</v>
      </c>
      <c r="L156">
        <v>1</v>
      </c>
      <c r="M156">
        <v>1</v>
      </c>
      <c r="N156" s="1" t="s">
        <v>63</v>
      </c>
      <c r="O156" s="1" t="s">
        <v>64</v>
      </c>
      <c r="P156" s="1" t="s">
        <v>192</v>
      </c>
      <c r="Q156" s="1" t="s">
        <v>208</v>
      </c>
    </row>
    <row r="157" spans="1:17" hidden="1" x14ac:dyDescent="0.3">
      <c r="A157" s="1" t="s">
        <v>760</v>
      </c>
      <c r="B157" s="1" t="s">
        <v>761</v>
      </c>
      <c r="C157" s="1" t="s">
        <v>716</v>
      </c>
      <c r="D157" s="1" t="s">
        <v>770</v>
      </c>
      <c r="E157" s="1" t="s">
        <v>771</v>
      </c>
      <c r="F157">
        <v>1</v>
      </c>
      <c r="G157">
        <v>1</v>
      </c>
      <c r="H157">
        <v>38.75</v>
      </c>
      <c r="I157">
        <v>38.75</v>
      </c>
      <c r="J157">
        <v>38.75</v>
      </c>
      <c r="K157">
        <v>38.75</v>
      </c>
      <c r="L157">
        <v>38.75</v>
      </c>
      <c r="M157">
        <v>38.75</v>
      </c>
      <c r="N157" s="1" t="s">
        <v>63</v>
      </c>
      <c r="O157" s="1" t="s">
        <v>64</v>
      </c>
      <c r="P157" s="1" t="s">
        <v>192</v>
      </c>
      <c r="Q157" s="1" t="s">
        <v>208</v>
      </c>
    </row>
    <row r="158" spans="1:17" hidden="1" x14ac:dyDescent="0.3">
      <c r="A158" s="1" t="s">
        <v>760</v>
      </c>
      <c r="B158" s="1" t="s">
        <v>761</v>
      </c>
      <c r="C158" s="1" t="s">
        <v>716</v>
      </c>
      <c r="D158" s="1" t="s">
        <v>772</v>
      </c>
      <c r="E158" s="1" t="s">
        <v>773</v>
      </c>
      <c r="F158">
        <v>1</v>
      </c>
      <c r="G158">
        <v>1</v>
      </c>
      <c r="H158">
        <v>2.8</v>
      </c>
      <c r="I158">
        <v>2.8</v>
      </c>
      <c r="J158">
        <v>2.8</v>
      </c>
      <c r="K158">
        <v>2.8</v>
      </c>
      <c r="L158">
        <v>2.8</v>
      </c>
      <c r="M158">
        <v>2.8</v>
      </c>
      <c r="N158" s="1" t="s">
        <v>63</v>
      </c>
      <c r="O158" s="1" t="s">
        <v>64</v>
      </c>
      <c r="P158" s="1" t="s">
        <v>192</v>
      </c>
      <c r="Q158" s="1" t="s">
        <v>208</v>
      </c>
    </row>
    <row r="159" spans="1:17" hidden="1" x14ac:dyDescent="0.3">
      <c r="A159" s="1" t="s">
        <v>760</v>
      </c>
      <c r="B159" s="1" t="s">
        <v>761</v>
      </c>
      <c r="C159" s="1" t="s">
        <v>716</v>
      </c>
      <c r="D159" s="1" t="s">
        <v>774</v>
      </c>
      <c r="E159" s="1" t="s">
        <v>775</v>
      </c>
      <c r="F159">
        <v>2</v>
      </c>
      <c r="G159">
        <v>2</v>
      </c>
      <c r="H159">
        <v>5.18</v>
      </c>
      <c r="I159">
        <v>10.36</v>
      </c>
      <c r="J159">
        <v>5.18</v>
      </c>
      <c r="K159">
        <v>10.36</v>
      </c>
      <c r="L159">
        <v>10.36</v>
      </c>
      <c r="M159">
        <v>10.36</v>
      </c>
      <c r="N159" s="1" t="s">
        <v>63</v>
      </c>
      <c r="O159" s="1" t="s">
        <v>64</v>
      </c>
      <c r="P159" s="1" t="s">
        <v>192</v>
      </c>
      <c r="Q159" s="1" t="s">
        <v>208</v>
      </c>
    </row>
    <row r="160" spans="1:17" hidden="1" x14ac:dyDescent="0.3">
      <c r="A160" s="1" t="s">
        <v>760</v>
      </c>
      <c r="B160" s="1" t="s">
        <v>761</v>
      </c>
      <c r="C160" s="1" t="s">
        <v>716</v>
      </c>
      <c r="D160" s="1" t="s">
        <v>764</v>
      </c>
      <c r="E160" s="1" t="s">
        <v>765</v>
      </c>
      <c r="F160">
        <v>1</v>
      </c>
      <c r="G160">
        <v>1</v>
      </c>
      <c r="H160">
        <v>2.59</v>
      </c>
      <c r="I160">
        <v>2.59</v>
      </c>
      <c r="J160">
        <v>2.59</v>
      </c>
      <c r="K160">
        <v>2.59</v>
      </c>
      <c r="L160">
        <v>2.59</v>
      </c>
      <c r="M160">
        <v>2.59</v>
      </c>
      <c r="N160" s="1" t="s">
        <v>63</v>
      </c>
      <c r="O160" s="1" t="s">
        <v>64</v>
      </c>
      <c r="P160" s="1" t="s">
        <v>192</v>
      </c>
      <c r="Q160" s="1" t="s">
        <v>208</v>
      </c>
    </row>
    <row r="161" spans="1:17" hidden="1" x14ac:dyDescent="0.3">
      <c r="A161" s="1" t="s">
        <v>760</v>
      </c>
      <c r="B161" s="1" t="s">
        <v>761</v>
      </c>
      <c r="C161" s="1" t="s">
        <v>716</v>
      </c>
      <c r="D161" s="1" t="s">
        <v>776</v>
      </c>
      <c r="E161" s="1" t="s">
        <v>777</v>
      </c>
      <c r="F161">
        <v>1</v>
      </c>
      <c r="G161">
        <v>1</v>
      </c>
      <c r="H161">
        <v>2.98</v>
      </c>
      <c r="I161">
        <v>2.98</v>
      </c>
      <c r="J161">
        <v>2.98</v>
      </c>
      <c r="K161">
        <v>2.98</v>
      </c>
      <c r="L161">
        <v>2.98</v>
      </c>
      <c r="M161">
        <v>2.98</v>
      </c>
      <c r="N161" s="1" t="s">
        <v>63</v>
      </c>
      <c r="O161" s="1" t="s">
        <v>64</v>
      </c>
      <c r="P161" s="1" t="s">
        <v>192</v>
      </c>
      <c r="Q161" s="1" t="s">
        <v>208</v>
      </c>
    </row>
    <row r="162" spans="1:17" hidden="1" x14ac:dyDescent="0.3">
      <c r="A162" s="1" t="s">
        <v>760</v>
      </c>
      <c r="B162" s="1" t="s">
        <v>761</v>
      </c>
      <c r="C162" s="1" t="s">
        <v>716</v>
      </c>
      <c r="D162" s="1" t="s">
        <v>748</v>
      </c>
      <c r="E162" s="1" t="s">
        <v>749</v>
      </c>
      <c r="F162">
        <v>1</v>
      </c>
      <c r="G162">
        <v>1</v>
      </c>
      <c r="H162">
        <v>1.6</v>
      </c>
      <c r="I162">
        <v>1.6</v>
      </c>
      <c r="J162">
        <v>1.6</v>
      </c>
      <c r="K162">
        <v>1.6</v>
      </c>
      <c r="L162">
        <v>1.6</v>
      </c>
      <c r="M162">
        <v>1.6</v>
      </c>
      <c r="N162" s="1" t="s">
        <v>63</v>
      </c>
      <c r="O162" s="1" t="s">
        <v>64</v>
      </c>
      <c r="P162" s="1" t="s">
        <v>192</v>
      </c>
      <c r="Q162" s="1" t="s">
        <v>208</v>
      </c>
    </row>
    <row r="163" spans="1:17" hidden="1" x14ac:dyDescent="0.3">
      <c r="A163" s="1" t="s">
        <v>760</v>
      </c>
      <c r="B163" s="1" t="s">
        <v>761</v>
      </c>
      <c r="C163" s="1" t="s">
        <v>716</v>
      </c>
      <c r="D163" s="1" t="s">
        <v>780</v>
      </c>
      <c r="E163" s="1" t="s">
        <v>781</v>
      </c>
      <c r="F163">
        <v>2</v>
      </c>
      <c r="G163">
        <v>2</v>
      </c>
      <c r="H163">
        <v>1.25</v>
      </c>
      <c r="I163">
        <v>2.5</v>
      </c>
      <c r="J163">
        <v>1.25</v>
      </c>
      <c r="K163">
        <v>2.5</v>
      </c>
      <c r="L163">
        <v>2.5</v>
      </c>
      <c r="M163">
        <v>2.5</v>
      </c>
      <c r="N163" s="1" t="s">
        <v>63</v>
      </c>
      <c r="O163" s="1" t="s">
        <v>64</v>
      </c>
      <c r="P163" s="1" t="s">
        <v>192</v>
      </c>
      <c r="Q163" s="1" t="s">
        <v>208</v>
      </c>
    </row>
    <row r="164" spans="1:17" hidden="1" x14ac:dyDescent="0.3">
      <c r="A164" s="1" t="s">
        <v>760</v>
      </c>
      <c r="B164" s="1" t="s">
        <v>761</v>
      </c>
      <c r="C164" s="1" t="s">
        <v>716</v>
      </c>
      <c r="D164" s="1" t="s">
        <v>786</v>
      </c>
      <c r="E164" s="1" t="s">
        <v>787</v>
      </c>
      <c r="F164">
        <v>1</v>
      </c>
      <c r="G164">
        <v>1</v>
      </c>
      <c r="H164">
        <v>27.54</v>
      </c>
      <c r="I164">
        <v>27.54</v>
      </c>
      <c r="J164">
        <v>27.54</v>
      </c>
      <c r="K164">
        <v>27.54</v>
      </c>
      <c r="L164">
        <v>27.54</v>
      </c>
      <c r="M164">
        <v>27.54</v>
      </c>
      <c r="N164" s="1" t="s">
        <v>63</v>
      </c>
      <c r="O164" s="1" t="s">
        <v>64</v>
      </c>
      <c r="P164" s="1" t="s">
        <v>192</v>
      </c>
      <c r="Q164" s="1" t="s">
        <v>208</v>
      </c>
    </row>
    <row r="165" spans="1:17" hidden="1" x14ac:dyDescent="0.3">
      <c r="A165" s="1" t="s">
        <v>760</v>
      </c>
      <c r="B165" s="1" t="s">
        <v>761</v>
      </c>
      <c r="C165" s="1" t="s">
        <v>716</v>
      </c>
      <c r="D165" s="1" t="s">
        <v>762</v>
      </c>
      <c r="E165" s="1" t="s">
        <v>763</v>
      </c>
      <c r="F165">
        <v>1</v>
      </c>
      <c r="G165">
        <v>1</v>
      </c>
      <c r="H165">
        <v>0.77</v>
      </c>
      <c r="I165">
        <v>0.77</v>
      </c>
      <c r="J165">
        <v>0.77</v>
      </c>
      <c r="K165">
        <v>0.77</v>
      </c>
      <c r="L165">
        <v>0.77</v>
      </c>
      <c r="M165">
        <v>0.77</v>
      </c>
      <c r="N165" s="1" t="s">
        <v>63</v>
      </c>
      <c r="O165" s="1" t="s">
        <v>64</v>
      </c>
      <c r="P165" s="1" t="s">
        <v>192</v>
      </c>
      <c r="Q165" s="1" t="s">
        <v>208</v>
      </c>
    </row>
    <row r="166" spans="1:17" hidden="1" x14ac:dyDescent="0.3">
      <c r="A166" s="1" t="s">
        <v>760</v>
      </c>
      <c r="B166" s="1" t="s">
        <v>761</v>
      </c>
      <c r="C166" s="1" t="s">
        <v>716</v>
      </c>
      <c r="D166" s="1" t="s">
        <v>768</v>
      </c>
      <c r="E166" s="1" t="s">
        <v>769</v>
      </c>
      <c r="F166">
        <v>2</v>
      </c>
      <c r="G166">
        <v>2</v>
      </c>
      <c r="H166">
        <v>2.08</v>
      </c>
      <c r="I166">
        <v>4.16</v>
      </c>
      <c r="J166">
        <v>2.08</v>
      </c>
      <c r="K166">
        <v>4.16</v>
      </c>
      <c r="L166">
        <v>4.16</v>
      </c>
      <c r="M166">
        <v>4.16</v>
      </c>
      <c r="N166" s="1" t="s">
        <v>63</v>
      </c>
      <c r="O166" s="1" t="s">
        <v>64</v>
      </c>
      <c r="P166" s="1" t="s">
        <v>192</v>
      </c>
      <c r="Q166" s="1" t="s">
        <v>208</v>
      </c>
    </row>
    <row r="167" spans="1:17" hidden="1" x14ac:dyDescent="0.3">
      <c r="A167" s="1" t="s">
        <v>760</v>
      </c>
      <c r="B167" s="1" t="s">
        <v>761</v>
      </c>
      <c r="C167" s="1" t="s">
        <v>716</v>
      </c>
      <c r="D167" s="1" t="s">
        <v>788</v>
      </c>
      <c r="E167" s="1" t="s">
        <v>789</v>
      </c>
      <c r="F167">
        <v>1</v>
      </c>
      <c r="G167">
        <v>1</v>
      </c>
      <c r="H167">
        <v>8.4658599999999993</v>
      </c>
      <c r="I167">
        <v>8.4700000000000006</v>
      </c>
      <c r="J167">
        <v>8.4658599999999993</v>
      </c>
      <c r="K167">
        <v>8.4658599999999993</v>
      </c>
      <c r="L167">
        <v>8.4658599999999993</v>
      </c>
      <c r="M167">
        <v>8.4658599999999993</v>
      </c>
      <c r="N167" s="1" t="s">
        <v>63</v>
      </c>
      <c r="O167" s="1" t="s">
        <v>64</v>
      </c>
      <c r="P167" s="1" t="s">
        <v>192</v>
      </c>
      <c r="Q167" s="1" t="s">
        <v>208</v>
      </c>
    </row>
    <row r="168" spans="1:17" hidden="1" x14ac:dyDescent="0.3">
      <c r="A168" s="1" t="s">
        <v>760</v>
      </c>
      <c r="B168" s="1" t="s">
        <v>761</v>
      </c>
      <c r="C168" s="1" t="s">
        <v>716</v>
      </c>
      <c r="D168" s="1" t="s">
        <v>778</v>
      </c>
      <c r="E168" s="1" t="s">
        <v>779</v>
      </c>
      <c r="F168">
        <v>1</v>
      </c>
      <c r="G168">
        <v>1</v>
      </c>
      <c r="H168">
        <v>2.98</v>
      </c>
      <c r="I168">
        <v>2.98</v>
      </c>
      <c r="J168">
        <v>2.98</v>
      </c>
      <c r="K168">
        <v>2.98</v>
      </c>
      <c r="L168">
        <v>2.98</v>
      </c>
      <c r="M168">
        <v>2.98</v>
      </c>
      <c r="N168" s="1" t="s">
        <v>63</v>
      </c>
      <c r="O168" s="1" t="s">
        <v>64</v>
      </c>
      <c r="P168" s="1" t="s">
        <v>192</v>
      </c>
      <c r="Q168" s="1" t="s">
        <v>208</v>
      </c>
    </row>
    <row r="169" spans="1:17" hidden="1" x14ac:dyDescent="0.3">
      <c r="A169" s="1" t="s">
        <v>760</v>
      </c>
      <c r="B169" s="1" t="s">
        <v>761</v>
      </c>
      <c r="C169" s="1" t="s">
        <v>716</v>
      </c>
      <c r="D169" s="1" t="s">
        <v>782</v>
      </c>
      <c r="E169" s="1" t="s">
        <v>783</v>
      </c>
      <c r="F169">
        <v>1</v>
      </c>
      <c r="G169">
        <v>1</v>
      </c>
      <c r="H169">
        <v>12.96</v>
      </c>
      <c r="I169">
        <v>12.96</v>
      </c>
      <c r="J169">
        <v>12.96</v>
      </c>
      <c r="K169">
        <v>12.96</v>
      </c>
      <c r="L169">
        <v>12.96</v>
      </c>
      <c r="M169">
        <v>12.96</v>
      </c>
      <c r="N169" s="1" t="s">
        <v>63</v>
      </c>
      <c r="O169" s="1" t="s">
        <v>64</v>
      </c>
      <c r="P169" s="1" t="s">
        <v>192</v>
      </c>
      <c r="Q169" s="1" t="s">
        <v>208</v>
      </c>
    </row>
    <row r="170" spans="1:17" hidden="1" x14ac:dyDescent="0.3">
      <c r="A170" s="1" t="s">
        <v>760</v>
      </c>
      <c r="B170" s="1" t="s">
        <v>761</v>
      </c>
      <c r="C170" s="1" t="s">
        <v>716</v>
      </c>
      <c r="D170" s="1" t="s">
        <v>766</v>
      </c>
      <c r="E170" s="1" t="s">
        <v>767</v>
      </c>
      <c r="F170">
        <v>1</v>
      </c>
      <c r="G170">
        <v>1</v>
      </c>
      <c r="H170">
        <v>1.65</v>
      </c>
      <c r="I170">
        <v>1.65</v>
      </c>
      <c r="J170">
        <v>1.65</v>
      </c>
      <c r="K170">
        <v>1.65</v>
      </c>
      <c r="L170">
        <v>1.65</v>
      </c>
      <c r="M170">
        <v>1.65</v>
      </c>
      <c r="N170" s="1" t="s">
        <v>63</v>
      </c>
      <c r="O170" s="1" t="s">
        <v>64</v>
      </c>
      <c r="P170" s="1" t="s">
        <v>192</v>
      </c>
      <c r="Q170" s="1" t="s">
        <v>208</v>
      </c>
    </row>
    <row r="171" spans="1:17" hidden="1" x14ac:dyDescent="0.3">
      <c r="A171" s="1" t="s">
        <v>760</v>
      </c>
      <c r="B171" s="1" t="s">
        <v>761</v>
      </c>
      <c r="C171" s="1" t="s">
        <v>716</v>
      </c>
      <c r="D171" s="1" t="s">
        <v>790</v>
      </c>
      <c r="E171" s="1" t="s">
        <v>791</v>
      </c>
      <c r="F171">
        <v>1</v>
      </c>
      <c r="G171">
        <v>1</v>
      </c>
      <c r="H171">
        <v>1.1499999999999999</v>
      </c>
      <c r="I171">
        <v>1.1499999999999999</v>
      </c>
      <c r="J171">
        <v>1.1499999999999999</v>
      </c>
      <c r="K171">
        <v>1.1499999999999999</v>
      </c>
      <c r="L171">
        <v>1.1499999999999999</v>
      </c>
      <c r="M171">
        <v>1.1499999999999999</v>
      </c>
      <c r="N171" s="1" t="s">
        <v>63</v>
      </c>
      <c r="O171" s="1" t="s">
        <v>64</v>
      </c>
      <c r="P171" s="1" t="s">
        <v>192</v>
      </c>
      <c r="Q171" s="1" t="s">
        <v>208</v>
      </c>
    </row>
  </sheetData>
  <phoneticPr fontId="3"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ECD4E8-74B1-48DB-96FC-D1E0672584A3}">
  <sheetPr codeName="Sheet7"/>
  <dimension ref="A1:M2"/>
  <sheetViews>
    <sheetView workbookViewId="0">
      <selection sqref="A1:M2"/>
    </sheetView>
  </sheetViews>
  <sheetFormatPr defaultRowHeight="14.4" x14ac:dyDescent="0.3"/>
  <cols>
    <col min="1" max="1" width="9" bestFit="1" customWidth="1"/>
    <col min="2" max="2" width="9.5546875" bestFit="1" customWidth="1"/>
    <col min="3" max="3" width="8.44140625" bestFit="1" customWidth="1"/>
    <col min="4" max="4" width="12.21875" bestFit="1" customWidth="1"/>
    <col min="5" max="5" width="12.109375" bestFit="1" customWidth="1"/>
    <col min="6" max="6" width="10.77734375" bestFit="1" customWidth="1"/>
    <col min="7" max="7" width="11.5546875" bestFit="1" customWidth="1"/>
    <col min="8" max="8" width="11.21875" bestFit="1" customWidth="1"/>
    <col min="10" max="10" width="8.77734375" bestFit="1" customWidth="1"/>
    <col min="11" max="11" width="9.5546875" bestFit="1" customWidth="1"/>
    <col min="12" max="12" width="8.88671875" bestFit="1" customWidth="1"/>
    <col min="13" max="13" width="15.109375" bestFit="1" customWidth="1"/>
  </cols>
  <sheetData>
    <row r="1" spans="1:13" x14ac:dyDescent="0.3">
      <c r="A1" t="s">
        <v>2</v>
      </c>
      <c r="B1" t="s">
        <v>3</v>
      </c>
      <c r="C1" t="s">
        <v>4</v>
      </c>
      <c r="D1" t="s">
        <v>41</v>
      </c>
      <c r="E1" t="s">
        <v>42</v>
      </c>
      <c r="F1" t="s">
        <v>43</v>
      </c>
      <c r="G1" t="s">
        <v>44</v>
      </c>
      <c r="H1" t="s">
        <v>45</v>
      </c>
      <c r="I1" t="s">
        <v>22</v>
      </c>
      <c r="J1" t="s">
        <v>23</v>
      </c>
      <c r="K1" t="s">
        <v>24</v>
      </c>
      <c r="L1" t="s">
        <v>25</v>
      </c>
      <c r="M1" t="s">
        <v>46</v>
      </c>
    </row>
    <row r="2" spans="1:13" x14ac:dyDescent="0.3">
      <c r="A2" s="1"/>
      <c r="B2" s="1"/>
      <c r="C2" s="1"/>
      <c r="I2" s="1"/>
      <c r="J2" s="1"/>
      <c r="K2" s="1"/>
      <c r="L2" s="1"/>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B207E03C153D0448908AF84895EE7D05" ma:contentTypeVersion="11" ma:contentTypeDescription="Create a new document." ma:contentTypeScope="" ma:versionID="02a6a8f1c0ac2885c2477c29bdc5c0a0">
  <xsd:schema xmlns:xsd="http://www.w3.org/2001/XMLSchema" xmlns:xs="http://www.w3.org/2001/XMLSchema" xmlns:p="http://schemas.microsoft.com/office/2006/metadata/properties" xmlns:ns3="37840923-d310-4d07-aab9-eaeb9707cd2a" xmlns:ns4="b85ca74c-896a-4724-926c-f71e81f975ac" targetNamespace="http://schemas.microsoft.com/office/2006/metadata/properties" ma:root="true" ma:fieldsID="83a74450845a65b789db7eff8d7b5f78" ns3:_="" ns4:_="">
    <xsd:import namespace="37840923-d310-4d07-aab9-eaeb9707cd2a"/>
    <xsd:import namespace="b85ca74c-896a-4724-926c-f71e81f975ac"/>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Location" minOccurs="0"/>
                <xsd:element ref="ns4:MediaServiceGenerationTime" minOccurs="0"/>
                <xsd:element ref="ns4:MediaServiceEventHashCode"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7840923-d310-4d07-aab9-eaeb9707cd2a"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85ca74c-896a-4724-926c-f71e81f975ac"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ServiceLocation" ma:index="14" nillable="true" ma:displayName="Location" ma:internalName="MediaServiceLocation"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5E43ADEE-83FF-4E04-9A1C-F1C4FA094982}">
  <ds:schemaRefs>
    <ds:schemaRef ds:uri="http://schemas.microsoft.com/sharepoint/v3/contenttype/forms"/>
  </ds:schemaRefs>
</ds:datastoreItem>
</file>

<file path=customXml/itemProps2.xml><?xml version="1.0" encoding="utf-8"?>
<ds:datastoreItem xmlns:ds="http://schemas.openxmlformats.org/officeDocument/2006/customXml" ds:itemID="{5F5A2EDB-C7AC-453D-8A20-1123C13F73E4}">
  <ds:schemaRefs>
    <ds:schemaRef ds:uri="http://schemas.microsoft.com/office/2006/metadata/properties"/>
    <ds:schemaRef ds:uri="http://purl.org/dc/elements/1.1/"/>
    <ds:schemaRef ds:uri="http://schemas.microsoft.com/office/2006/documentManagement/types"/>
    <ds:schemaRef ds:uri="37840923-d310-4d07-aab9-eaeb9707cd2a"/>
    <ds:schemaRef ds:uri="http://purl.org/dc/dcmitype/"/>
    <ds:schemaRef ds:uri="http://schemas.microsoft.com/office/infopath/2007/PartnerControls"/>
    <ds:schemaRef ds:uri="b85ca74c-896a-4724-926c-f71e81f975ac"/>
    <ds:schemaRef ds:uri="http://www.w3.org/XML/1998/namespace"/>
    <ds:schemaRef ds:uri="http://schemas.openxmlformats.org/package/2006/metadata/core-properties"/>
    <ds:schemaRef ds:uri="http://purl.org/dc/terms/"/>
  </ds:schemaRefs>
</ds:datastoreItem>
</file>

<file path=customXml/itemProps3.xml><?xml version="1.0" encoding="utf-8"?>
<ds:datastoreItem xmlns:ds="http://schemas.openxmlformats.org/officeDocument/2006/customXml" ds:itemID="{506C8138-43B3-4774-A7AF-F2577AB7EFA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7840923-d310-4d07-aab9-eaeb9707cd2a"/>
    <ds:schemaRef ds:uri="b85ca74c-896a-4724-926c-f71e81f975a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1B6DE109-130E-4947-A18B-B20BDCF7FCD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vt:i4>
      </vt:variant>
    </vt:vector>
  </HeadingPairs>
  <TitlesOfParts>
    <vt:vector size="11" baseType="lpstr">
      <vt:lpstr>CO List</vt:lpstr>
      <vt:lpstr>Connections</vt:lpstr>
      <vt:lpstr>Summary</vt:lpstr>
      <vt:lpstr>Short Parts</vt:lpstr>
      <vt:lpstr>Labor Codes</vt:lpstr>
      <vt:lpstr>Labor Hours</vt:lpstr>
      <vt:lpstr>Material (Line Items)</vt:lpstr>
      <vt:lpstr>Material (Planned)</vt:lpstr>
      <vt:lpstr>Rework</vt:lpstr>
      <vt:lpstr>coList</vt:lpstr>
      <vt:lpstr>connStr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England, Tyler (PSA-CLW)</dc:creator>
  <cp:lastModifiedBy>Viovicente, Michelle (PSA-CLW)</cp:lastModifiedBy>
  <dcterms:created xsi:type="dcterms:W3CDTF">2020-07-01T12:37:15Z</dcterms:created>
  <dcterms:modified xsi:type="dcterms:W3CDTF">2021-06-02T13:11:19Z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0x010100B207E03C153D0448908AF84895EE7D05</vt:lpwstr>
  </property>
</Properties>
</file>